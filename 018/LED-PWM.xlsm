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DieseArbeitsmappe"/>
  <bookViews>
    <workbookView xWindow="0" yWindow="0" windowWidth="21570" windowHeight="7845"/>
  </bookViews>
  <sheets>
    <sheet name="PWM Table for LED Fading or Dim" sheetId="1" r:id="rId1"/>
  </sheets>
  <definedNames>
    <definedName name="SHARED_FORMULA_2_132_2_132_0">"ROUND([.$C$3]*POWER([.$G$6];[.B133]);0)"</definedName>
    <definedName name="SHARED_FORMULA_2_196_2_196_0">"ROUND([.$C$3]*POWER([.$G$6];[.B197]);0)"</definedName>
    <definedName name="SHARED_FORMULA_2_4_2_4_0">"ROUND([.$C$3]*POWER([.$G$6];[.B5]);0)"</definedName>
    <definedName name="SHARED_FORMULA_2_68_2_68_0">"ROUND([.$C$3]*POWER([.$G$6];[.B69]);0)"</definedName>
  </definedNames>
  <calcPr calcId="145621"/>
</workbook>
</file>

<file path=xl/calcChain.xml><?xml version="1.0" encoding="utf-8"?>
<calcChain xmlns="http://schemas.openxmlformats.org/spreadsheetml/2006/main">
  <c r="G6" i="1" l="1"/>
  <c r="B102" i="1" s="1"/>
  <c r="G5" i="1"/>
  <c r="D108" i="1" s="1"/>
  <c r="G4" i="1"/>
  <c r="D16" i="1" l="1"/>
  <c r="D34" i="1"/>
  <c r="D57" i="1"/>
  <c r="D25" i="1"/>
  <c r="D48" i="1"/>
  <c r="D80" i="1"/>
  <c r="D18" i="1"/>
  <c r="D41" i="1"/>
  <c r="D64" i="1"/>
  <c r="D3" i="1"/>
  <c r="D9" i="1"/>
  <c r="D32" i="1"/>
  <c r="D50" i="1"/>
  <c r="D96" i="1"/>
  <c r="B31" i="1"/>
  <c r="B40" i="1"/>
  <c r="B22" i="1"/>
  <c r="B4" i="1"/>
  <c r="B6" i="1"/>
  <c r="B11" i="1"/>
  <c r="B38" i="1"/>
  <c r="B5" i="1"/>
  <c r="B8" i="1"/>
  <c r="B63" i="1"/>
  <c r="B86" i="1"/>
  <c r="B54" i="1"/>
  <c r="B15" i="1"/>
  <c r="B24" i="1"/>
  <c r="B47" i="1"/>
  <c r="B56" i="1"/>
  <c r="B70" i="1"/>
  <c r="C257" i="1"/>
  <c r="C253" i="1"/>
  <c r="C249" i="1"/>
  <c r="C245" i="1"/>
  <c r="C241" i="1"/>
  <c r="C237" i="1"/>
  <c r="C233" i="1"/>
  <c r="C229" i="1"/>
  <c r="C225" i="1"/>
  <c r="C221" i="1"/>
  <c r="C217" i="1"/>
  <c r="C213" i="1"/>
  <c r="C209" i="1"/>
  <c r="C205" i="1"/>
  <c r="C201" i="1"/>
  <c r="C197" i="1"/>
  <c r="C193" i="1"/>
  <c r="C189" i="1"/>
  <c r="C185" i="1"/>
  <c r="C181" i="1"/>
  <c r="C177" i="1"/>
  <c r="C173" i="1"/>
  <c r="C169" i="1"/>
  <c r="C165" i="1"/>
  <c r="C161" i="1"/>
  <c r="C157" i="1"/>
  <c r="C153" i="1"/>
  <c r="C149" i="1"/>
  <c r="C258" i="1"/>
  <c r="C254" i="1"/>
  <c r="C250" i="1"/>
  <c r="C246" i="1"/>
  <c r="C242" i="1"/>
  <c r="C238" i="1"/>
  <c r="C234" i="1"/>
  <c r="C230" i="1"/>
  <c r="C226" i="1"/>
  <c r="C222" i="1"/>
  <c r="C218" i="1"/>
  <c r="C214" i="1"/>
  <c r="C210" i="1"/>
  <c r="C206" i="1"/>
  <c r="C202" i="1"/>
  <c r="C198" i="1"/>
  <c r="C194" i="1"/>
  <c r="C190" i="1"/>
  <c r="C186" i="1"/>
  <c r="C182" i="1"/>
  <c r="C178" i="1"/>
  <c r="C174" i="1"/>
  <c r="C170" i="1"/>
  <c r="C166" i="1"/>
  <c r="C162" i="1"/>
  <c r="C158" i="1"/>
  <c r="C154" i="1"/>
  <c r="C150" i="1"/>
  <c r="C146" i="1"/>
  <c r="C255" i="1"/>
  <c r="C251" i="1"/>
  <c r="C247" i="1"/>
  <c r="C243" i="1"/>
  <c r="C239" i="1"/>
  <c r="C235" i="1"/>
  <c r="C231" i="1"/>
  <c r="C227" i="1"/>
  <c r="C223" i="1"/>
  <c r="C219" i="1"/>
  <c r="C215" i="1"/>
  <c r="C211" i="1"/>
  <c r="C207" i="1"/>
  <c r="C203" i="1"/>
  <c r="C199" i="1"/>
  <c r="C195" i="1"/>
  <c r="C191" i="1"/>
  <c r="C187" i="1"/>
  <c r="C183" i="1"/>
  <c r="C179" i="1"/>
  <c r="C175" i="1"/>
  <c r="C171" i="1"/>
  <c r="C167" i="1"/>
  <c r="C163" i="1"/>
  <c r="C159" i="1"/>
  <c r="C155" i="1"/>
  <c r="C151" i="1"/>
  <c r="C147" i="1"/>
  <c r="C252" i="1"/>
  <c r="C236" i="1"/>
  <c r="C220" i="1"/>
  <c r="C204" i="1"/>
  <c r="C188" i="1"/>
  <c r="C172" i="1"/>
  <c r="C156" i="1"/>
  <c r="C144" i="1"/>
  <c r="C140" i="1"/>
  <c r="C136" i="1"/>
  <c r="C132" i="1"/>
  <c r="C128" i="1"/>
  <c r="C124" i="1"/>
  <c r="C120" i="1"/>
  <c r="C116" i="1"/>
  <c r="C112" i="1"/>
  <c r="C108" i="1"/>
  <c r="C104" i="1"/>
  <c r="C100" i="1"/>
  <c r="C96" i="1"/>
  <c r="C92" i="1"/>
  <c r="C88" i="1"/>
  <c r="C84" i="1"/>
  <c r="C80" i="1"/>
  <c r="C76" i="1"/>
  <c r="C72" i="1"/>
  <c r="C68" i="1"/>
  <c r="C256" i="1"/>
  <c r="C240" i="1"/>
  <c r="C224" i="1"/>
  <c r="C208" i="1"/>
  <c r="C192" i="1"/>
  <c r="C176" i="1"/>
  <c r="C160" i="1"/>
  <c r="C145" i="1"/>
  <c r="C141" i="1"/>
  <c r="C137" i="1"/>
  <c r="C133" i="1"/>
  <c r="C129" i="1"/>
  <c r="C125" i="1"/>
  <c r="C121" i="1"/>
  <c r="C117" i="1"/>
  <c r="C113" i="1"/>
  <c r="C109" i="1"/>
  <c r="C105" i="1"/>
  <c r="C101" i="1"/>
  <c r="C97" i="1"/>
  <c r="C93" i="1"/>
  <c r="C89" i="1"/>
  <c r="C85" i="1"/>
  <c r="C81" i="1"/>
  <c r="C77" i="1"/>
  <c r="C73" i="1"/>
  <c r="C69" i="1"/>
  <c r="C65" i="1"/>
  <c r="C244" i="1"/>
  <c r="C228" i="1"/>
  <c r="C212" i="1"/>
  <c r="C196" i="1"/>
  <c r="C180" i="1"/>
  <c r="C164" i="1"/>
  <c r="C148" i="1"/>
  <c r="C142" i="1"/>
  <c r="C138" i="1"/>
  <c r="C134" i="1"/>
  <c r="C130" i="1"/>
  <c r="C126" i="1"/>
  <c r="C122" i="1"/>
  <c r="C118" i="1"/>
  <c r="C114" i="1"/>
  <c r="C110" i="1"/>
  <c r="C106" i="1"/>
  <c r="C102" i="1"/>
  <c r="C98" i="1"/>
  <c r="C94" i="1"/>
  <c r="C90" i="1"/>
  <c r="C86" i="1"/>
  <c r="C82" i="1"/>
  <c r="C78" i="1"/>
  <c r="C74" i="1"/>
  <c r="C70" i="1"/>
  <c r="C66" i="1"/>
  <c r="C62" i="1"/>
  <c r="C58" i="1"/>
  <c r="C54" i="1"/>
  <c r="C50" i="1"/>
  <c r="C46" i="1"/>
  <c r="C42" i="1"/>
  <c r="C38" i="1"/>
  <c r="C34" i="1"/>
  <c r="C30" i="1"/>
  <c r="C26" i="1"/>
  <c r="C22" i="1"/>
  <c r="C18" i="1"/>
  <c r="C14" i="1"/>
  <c r="C10" i="1"/>
  <c r="C248" i="1"/>
  <c r="C232" i="1"/>
  <c r="C216" i="1"/>
  <c r="C200" i="1"/>
  <c r="C184" i="1"/>
  <c r="C168" i="1"/>
  <c r="C152" i="1"/>
  <c r="C143" i="1"/>
  <c r="C139" i="1"/>
  <c r="C135" i="1"/>
  <c r="C131" i="1"/>
  <c r="C127" i="1"/>
  <c r="C123" i="1"/>
  <c r="C119" i="1"/>
  <c r="C7" i="1"/>
  <c r="C20" i="1"/>
  <c r="C36" i="1"/>
  <c r="C43" i="1"/>
  <c r="C45" i="1"/>
  <c r="C52" i="1"/>
  <c r="C91" i="1"/>
  <c r="C107" i="1"/>
  <c r="D112" i="1"/>
  <c r="C5" i="1"/>
  <c r="B256" i="1"/>
  <c r="B252" i="1"/>
  <c r="B248" i="1"/>
  <c r="B244" i="1"/>
  <c r="B240" i="1"/>
  <c r="B236" i="1"/>
  <c r="B232" i="1"/>
  <c r="B228" i="1"/>
  <c r="B224" i="1"/>
  <c r="B220" i="1"/>
  <c r="B216" i="1"/>
  <c r="B212" i="1"/>
  <c r="B208" i="1"/>
  <c r="B204" i="1"/>
  <c r="B200" i="1"/>
  <c r="B196" i="1"/>
  <c r="B192" i="1"/>
  <c r="B188" i="1"/>
  <c r="B184" i="1"/>
  <c r="B180" i="1"/>
  <c r="B176" i="1"/>
  <c r="B172" i="1"/>
  <c r="B168" i="1"/>
  <c r="B164" i="1"/>
  <c r="B160" i="1"/>
  <c r="B156" i="1"/>
  <c r="B152" i="1"/>
  <c r="B148" i="1"/>
  <c r="B257" i="1"/>
  <c r="B253" i="1"/>
  <c r="B249" i="1"/>
  <c r="B245" i="1"/>
  <c r="B241" i="1"/>
  <c r="B237" i="1"/>
  <c r="B233" i="1"/>
  <c r="B229" i="1"/>
  <c r="B225" i="1"/>
  <c r="B221" i="1"/>
  <c r="B217" i="1"/>
  <c r="B213" i="1"/>
  <c r="B209" i="1"/>
  <c r="B205" i="1"/>
  <c r="B201" i="1"/>
  <c r="B197" i="1"/>
  <c r="B193" i="1"/>
  <c r="B189" i="1"/>
  <c r="B185" i="1"/>
  <c r="B181" i="1"/>
  <c r="B177" i="1"/>
  <c r="B173" i="1"/>
  <c r="B169" i="1"/>
  <c r="B165" i="1"/>
  <c r="B161" i="1"/>
  <c r="B157" i="1"/>
  <c r="B153" i="1"/>
  <c r="B149" i="1"/>
  <c r="B258" i="1"/>
  <c r="B254" i="1"/>
  <c r="B250" i="1"/>
  <c r="B246" i="1"/>
  <c r="B242" i="1"/>
  <c r="B238" i="1"/>
  <c r="B234" i="1"/>
  <c r="B230" i="1"/>
  <c r="B226" i="1"/>
  <c r="B222" i="1"/>
  <c r="B218" i="1"/>
  <c r="B214" i="1"/>
  <c r="B210" i="1"/>
  <c r="B206" i="1"/>
  <c r="B202" i="1"/>
  <c r="B198" i="1"/>
  <c r="B194" i="1"/>
  <c r="B190" i="1"/>
  <c r="B186" i="1"/>
  <c r="B182" i="1"/>
  <c r="B178" i="1"/>
  <c r="B174" i="1"/>
  <c r="B170" i="1"/>
  <c r="B166" i="1"/>
  <c r="B162" i="1"/>
  <c r="B158" i="1"/>
  <c r="B154" i="1"/>
  <c r="B150" i="1"/>
  <c r="B146" i="1"/>
  <c r="B247" i="1"/>
  <c r="B231" i="1"/>
  <c r="B215" i="1"/>
  <c r="B199" i="1"/>
  <c r="B183" i="1"/>
  <c r="B167" i="1"/>
  <c r="B151" i="1"/>
  <c r="B143" i="1"/>
  <c r="B139" i="1"/>
  <c r="B135" i="1"/>
  <c r="B131" i="1"/>
  <c r="B127" i="1"/>
  <c r="B123" i="1"/>
  <c r="B119" i="1"/>
  <c r="B115" i="1"/>
  <c r="B111" i="1"/>
  <c r="B107" i="1"/>
  <c r="B103" i="1"/>
  <c r="B99" i="1"/>
  <c r="B95" i="1"/>
  <c r="B91" i="1"/>
  <c r="B87" i="1"/>
  <c r="B83" i="1"/>
  <c r="B79" i="1"/>
  <c r="B75" i="1"/>
  <c r="B71" i="1"/>
  <c r="B67" i="1"/>
  <c r="B251" i="1"/>
  <c r="B235" i="1"/>
  <c r="B219" i="1"/>
  <c r="B203" i="1"/>
  <c r="B187" i="1"/>
  <c r="B171" i="1"/>
  <c r="B155" i="1"/>
  <c r="B144" i="1"/>
  <c r="B140" i="1"/>
  <c r="B136" i="1"/>
  <c r="B132" i="1"/>
  <c r="B128" i="1"/>
  <c r="B124" i="1"/>
  <c r="B120" i="1"/>
  <c r="B116" i="1"/>
  <c r="B112" i="1"/>
  <c r="B108" i="1"/>
  <c r="B104" i="1"/>
  <c r="B100" i="1"/>
  <c r="B96" i="1"/>
  <c r="B92" i="1"/>
  <c r="B88" i="1"/>
  <c r="B84" i="1"/>
  <c r="B80" i="1"/>
  <c r="B76" i="1"/>
  <c r="B72" i="1"/>
  <c r="B68" i="1"/>
  <c r="B255" i="1"/>
  <c r="B239" i="1"/>
  <c r="B223" i="1"/>
  <c r="B207" i="1"/>
  <c r="B191" i="1"/>
  <c r="B175" i="1"/>
  <c r="B159" i="1"/>
  <c r="B145" i="1"/>
  <c r="B141" i="1"/>
  <c r="B137" i="1"/>
  <c r="B133" i="1"/>
  <c r="B129" i="1"/>
  <c r="B125" i="1"/>
  <c r="B121" i="1"/>
  <c r="B117" i="1"/>
  <c r="B113" i="1"/>
  <c r="B109" i="1"/>
  <c r="B105" i="1"/>
  <c r="B101" i="1"/>
  <c r="B97" i="1"/>
  <c r="B93" i="1"/>
  <c r="B89" i="1"/>
  <c r="B85" i="1"/>
  <c r="B81" i="1"/>
  <c r="B77" i="1"/>
  <c r="B73" i="1"/>
  <c r="B69" i="1"/>
  <c r="B65" i="1"/>
  <c r="B61" i="1"/>
  <c r="B57" i="1"/>
  <c r="B53" i="1"/>
  <c r="B49" i="1"/>
  <c r="B45" i="1"/>
  <c r="B41" i="1"/>
  <c r="B37" i="1"/>
  <c r="B33" i="1"/>
  <c r="B29" i="1"/>
  <c r="B25" i="1"/>
  <c r="B21" i="1"/>
  <c r="B17" i="1"/>
  <c r="B13" i="1"/>
  <c r="B9" i="1"/>
  <c r="B243" i="1"/>
  <c r="B227" i="1"/>
  <c r="B211" i="1"/>
  <c r="B195" i="1"/>
  <c r="B179" i="1"/>
  <c r="B163" i="1"/>
  <c r="B147" i="1"/>
  <c r="B142" i="1"/>
  <c r="B138" i="1"/>
  <c r="B134" i="1"/>
  <c r="B130" i="1"/>
  <c r="B126" i="1"/>
  <c r="B122" i="1"/>
  <c r="B118" i="1"/>
  <c r="C8" i="1"/>
  <c r="B10" i="1"/>
  <c r="B12" i="1"/>
  <c r="D13" i="1"/>
  <c r="C15" i="1"/>
  <c r="C17" i="1"/>
  <c r="B19" i="1"/>
  <c r="D20" i="1"/>
  <c r="D22" i="1"/>
  <c r="C24" i="1"/>
  <c r="B26" i="1"/>
  <c r="B28" i="1"/>
  <c r="D29" i="1"/>
  <c r="C31" i="1"/>
  <c r="C33" i="1"/>
  <c r="B35" i="1"/>
  <c r="D36" i="1"/>
  <c r="D38" i="1"/>
  <c r="C40" i="1"/>
  <c r="B42" i="1"/>
  <c r="B44" i="1"/>
  <c r="D45" i="1"/>
  <c r="C47" i="1"/>
  <c r="C49" i="1"/>
  <c r="B51" i="1"/>
  <c r="D52" i="1"/>
  <c r="D54" i="1"/>
  <c r="C56" i="1"/>
  <c r="B58" i="1"/>
  <c r="B60" i="1"/>
  <c r="D61" i="1"/>
  <c r="C63" i="1"/>
  <c r="B66" i="1"/>
  <c r="C71" i="1"/>
  <c r="D76" i="1"/>
  <c r="B82" i="1"/>
  <c r="C87" i="1"/>
  <c r="D92" i="1"/>
  <c r="B98" i="1"/>
  <c r="C103" i="1"/>
  <c r="B114" i="1"/>
  <c r="C9" i="1"/>
  <c r="C6" i="1"/>
  <c r="C11" i="1"/>
  <c r="C13" i="1"/>
  <c r="C27" i="1"/>
  <c r="C29" i="1"/>
  <c r="C59" i="1"/>
  <c r="C61" i="1"/>
  <c r="C75" i="1"/>
  <c r="C4" i="1"/>
  <c r="D258" i="1"/>
  <c r="D254" i="1"/>
  <c r="D250" i="1"/>
  <c r="D246" i="1"/>
  <c r="D242" i="1"/>
  <c r="D238" i="1"/>
  <c r="D234" i="1"/>
  <c r="D230" i="1"/>
  <c r="D226" i="1"/>
  <c r="D222" i="1"/>
  <c r="D218" i="1"/>
  <c r="D214" i="1"/>
  <c r="D210" i="1"/>
  <c r="D206" i="1"/>
  <c r="D202" i="1"/>
  <c r="D198" i="1"/>
  <c r="D194" i="1"/>
  <c r="D190" i="1"/>
  <c r="D186" i="1"/>
  <c r="D182" i="1"/>
  <c r="D178" i="1"/>
  <c r="D174" i="1"/>
  <c r="D170" i="1"/>
  <c r="D166" i="1"/>
  <c r="D162" i="1"/>
  <c r="D158" i="1"/>
  <c r="D154" i="1"/>
  <c r="D150" i="1"/>
  <c r="D146" i="1"/>
  <c r="D255" i="1"/>
  <c r="D251" i="1"/>
  <c r="D247" i="1"/>
  <c r="D243" i="1"/>
  <c r="D239" i="1"/>
  <c r="D235" i="1"/>
  <c r="D231" i="1"/>
  <c r="D227" i="1"/>
  <c r="D223" i="1"/>
  <c r="D219" i="1"/>
  <c r="D215" i="1"/>
  <c r="D211" i="1"/>
  <c r="D207" i="1"/>
  <c r="D203" i="1"/>
  <c r="D199" i="1"/>
  <c r="D195" i="1"/>
  <c r="D191" i="1"/>
  <c r="D187" i="1"/>
  <c r="D183" i="1"/>
  <c r="D179" i="1"/>
  <c r="D175" i="1"/>
  <c r="D171" i="1"/>
  <c r="D167" i="1"/>
  <c r="D163" i="1"/>
  <c r="D159" i="1"/>
  <c r="D155" i="1"/>
  <c r="D151" i="1"/>
  <c r="D147" i="1"/>
  <c r="D256" i="1"/>
  <c r="D252" i="1"/>
  <c r="D248" i="1"/>
  <c r="D244" i="1"/>
  <c r="D240" i="1"/>
  <c r="D236" i="1"/>
  <c r="D232" i="1"/>
  <c r="D228" i="1"/>
  <c r="D224" i="1"/>
  <c r="D220" i="1"/>
  <c r="D216" i="1"/>
  <c r="D212" i="1"/>
  <c r="D208" i="1"/>
  <c r="D204" i="1"/>
  <c r="D200" i="1"/>
  <c r="D196" i="1"/>
  <c r="D192" i="1"/>
  <c r="D188" i="1"/>
  <c r="D184" i="1"/>
  <c r="D180" i="1"/>
  <c r="D176" i="1"/>
  <c r="D172" i="1"/>
  <c r="D168" i="1"/>
  <c r="D164" i="1"/>
  <c r="D160" i="1"/>
  <c r="D156" i="1"/>
  <c r="D152" i="1"/>
  <c r="D148" i="1"/>
  <c r="D257" i="1"/>
  <c r="D241" i="1"/>
  <c r="D225" i="1"/>
  <c r="D209" i="1"/>
  <c r="D193" i="1"/>
  <c r="D177" i="1"/>
  <c r="D161" i="1"/>
  <c r="D145" i="1"/>
  <c r="D141" i="1"/>
  <c r="D137" i="1"/>
  <c r="D133" i="1"/>
  <c r="D129" i="1"/>
  <c r="D125" i="1"/>
  <c r="D121" i="1"/>
  <c r="D117" i="1"/>
  <c r="D113" i="1"/>
  <c r="D109" i="1"/>
  <c r="D105" i="1"/>
  <c r="D101" i="1"/>
  <c r="D97" i="1"/>
  <c r="D93" i="1"/>
  <c r="D89" i="1"/>
  <c r="D85" i="1"/>
  <c r="D81" i="1"/>
  <c r="D77" i="1"/>
  <c r="D73" i="1"/>
  <c r="D69" i="1"/>
  <c r="D65" i="1"/>
  <c r="D245" i="1"/>
  <c r="D229" i="1"/>
  <c r="D213" i="1"/>
  <c r="D197" i="1"/>
  <c r="D181" i="1"/>
  <c r="D165" i="1"/>
  <c r="D149" i="1"/>
  <c r="D142" i="1"/>
  <c r="D138" i="1"/>
  <c r="D134" i="1"/>
  <c r="D130" i="1"/>
  <c r="D126" i="1"/>
  <c r="D122" i="1"/>
  <c r="D118" i="1"/>
  <c r="D114" i="1"/>
  <c r="D110" i="1"/>
  <c r="D106" i="1"/>
  <c r="D102" i="1"/>
  <c r="D98" i="1"/>
  <c r="D94" i="1"/>
  <c r="D90" i="1"/>
  <c r="D86" i="1"/>
  <c r="D82" i="1"/>
  <c r="D78" i="1"/>
  <c r="D74" i="1"/>
  <c r="D70" i="1"/>
  <c r="D66" i="1"/>
  <c r="D249" i="1"/>
  <c r="D233" i="1"/>
  <c r="D217" i="1"/>
  <c r="D201" i="1"/>
  <c r="D185" i="1"/>
  <c r="D169" i="1"/>
  <c r="D153" i="1"/>
  <c r="D143" i="1"/>
  <c r="D139" i="1"/>
  <c r="D135" i="1"/>
  <c r="D131" i="1"/>
  <c r="D127" i="1"/>
  <c r="D123" i="1"/>
  <c r="D119" i="1"/>
  <c r="D115" i="1"/>
  <c r="D111" i="1"/>
  <c r="D107" i="1"/>
  <c r="D103" i="1"/>
  <c r="D99" i="1"/>
  <c r="D95" i="1"/>
  <c r="D91" i="1"/>
  <c r="D87" i="1"/>
  <c r="D83" i="1"/>
  <c r="D79" i="1"/>
  <c r="D75" i="1"/>
  <c r="D71" i="1"/>
  <c r="D67" i="1"/>
  <c r="D63" i="1"/>
  <c r="D59" i="1"/>
  <c r="D55" i="1"/>
  <c r="D51" i="1"/>
  <c r="D47" i="1"/>
  <c r="D43" i="1"/>
  <c r="D39" i="1"/>
  <c r="D35" i="1"/>
  <c r="D31" i="1"/>
  <c r="D27" i="1"/>
  <c r="D23" i="1"/>
  <c r="D19" i="1"/>
  <c r="D15" i="1"/>
  <c r="D11" i="1"/>
  <c r="D7" i="1"/>
  <c r="D6" i="1"/>
  <c r="D5" i="1"/>
  <c r="D4" i="1"/>
  <c r="D253" i="1"/>
  <c r="D237" i="1"/>
  <c r="D221" i="1"/>
  <c r="D205" i="1"/>
  <c r="D189" i="1"/>
  <c r="D173" i="1"/>
  <c r="D157" i="1"/>
  <c r="D144" i="1"/>
  <c r="D140" i="1"/>
  <c r="D136" i="1"/>
  <c r="D132" i="1"/>
  <c r="D128" i="1"/>
  <c r="D124" i="1"/>
  <c r="D120" i="1"/>
  <c r="B7" i="1"/>
  <c r="D8" i="1"/>
  <c r="D10" i="1"/>
  <c r="C12" i="1"/>
  <c r="B14" i="1"/>
  <c r="B16" i="1"/>
  <c r="D17" i="1"/>
  <c r="C19" i="1"/>
  <c r="C21" i="1"/>
  <c r="B23" i="1"/>
  <c r="D24" i="1"/>
  <c r="D26" i="1"/>
  <c r="C28" i="1"/>
  <c r="B30" i="1"/>
  <c r="B32" i="1"/>
  <c r="D33" i="1"/>
  <c r="C35" i="1"/>
  <c r="C37" i="1"/>
  <c r="B39" i="1"/>
  <c r="D40" i="1"/>
  <c r="D42" i="1"/>
  <c r="C44" i="1"/>
  <c r="B46" i="1"/>
  <c r="B48" i="1"/>
  <c r="D49" i="1"/>
  <c r="C51" i="1"/>
  <c r="C53" i="1"/>
  <c r="B55" i="1"/>
  <c r="D56" i="1"/>
  <c r="D58" i="1"/>
  <c r="C60" i="1"/>
  <c r="B62" i="1"/>
  <c r="B64" i="1"/>
  <c r="C67" i="1"/>
  <c r="D72" i="1"/>
  <c r="B78" i="1"/>
  <c r="C83" i="1"/>
  <c r="D88" i="1"/>
  <c r="B94" i="1"/>
  <c r="C99" i="1"/>
  <c r="D104" i="1"/>
  <c r="B110" i="1"/>
  <c r="C115" i="1"/>
  <c r="D12" i="1"/>
  <c r="D14" i="1"/>
  <c r="C16" i="1"/>
  <c r="B18" i="1"/>
  <c r="B20" i="1"/>
  <c r="D21" i="1"/>
  <c r="C23" i="1"/>
  <c r="C25" i="1"/>
  <c r="B27" i="1"/>
  <c r="D28" i="1"/>
  <c r="D30" i="1"/>
  <c r="C32" i="1"/>
  <c r="B34" i="1"/>
  <c r="B36" i="1"/>
  <c r="D37" i="1"/>
  <c r="C39" i="1"/>
  <c r="C41" i="1"/>
  <c r="B43" i="1"/>
  <c r="D44" i="1"/>
  <c r="D46" i="1"/>
  <c r="C48" i="1"/>
  <c r="B50" i="1"/>
  <c r="B52" i="1"/>
  <c r="D53" i="1"/>
  <c r="C55" i="1"/>
  <c r="C57" i="1"/>
  <c r="B59" i="1"/>
  <c r="D60" i="1"/>
  <c r="D62" i="1"/>
  <c r="C64" i="1"/>
  <c r="D68" i="1"/>
  <c r="B74" i="1"/>
  <c r="C79" i="1"/>
  <c r="D84" i="1"/>
  <c r="B90" i="1"/>
  <c r="C95" i="1"/>
  <c r="D100" i="1"/>
  <c r="B106" i="1"/>
  <c r="C111" i="1"/>
  <c r="D116" i="1"/>
</calcChain>
</file>

<file path=xl/comments1.xml><?xml version="1.0" encoding="utf-8"?>
<comments xmlns="http://schemas.openxmlformats.org/spreadsheetml/2006/main">
  <authors>
    <author/>
  </authors>
  <commentList>
    <comment ref="L8" authorId="0">
      <text>
        <r>
          <rPr>
            <sz val="10"/>
            <color theme="1"/>
            <rFont val="Arial1"/>
          </rPr>
          <t>See the comment which was added to the source code on http://www.mikrocontroller.net/articles/LED-Fading</t>
        </r>
      </text>
    </comment>
  </commentList>
</comments>
</file>

<file path=xl/sharedStrings.xml><?xml version="1.0" encoding="utf-8"?>
<sst xmlns="http://schemas.openxmlformats.org/spreadsheetml/2006/main" count="35" uniqueCount="31">
  <si>
    <t>MAX PWM</t>
  </si>
  <si>
    <t>Index</t>
  </si>
  <si>
    <t>PWM</t>
  </si>
  <si>
    <t>PWM2</t>
  </si>
  <si>
    <t>PWM3</t>
  </si>
  <si>
    <t>Steps</t>
  </si>
  <si>
    <t>Wunschwerte eintragen / Choose values</t>
  </si>
  <si>
    <t>Factor</t>
  </si>
  <si>
    <t>Zwischenergebnis / Interim results</t>
  </si>
  <si>
    <t>No-of-Bits1</t>
  </si>
  <si>
    <t>=LOG2(MAX PWM)</t>
  </si>
  <si>
    <t>PWM Werte für pwmtable[] / PWM values for pwmtable[]</t>
  </si>
  <si>
    <t>No-of-Bits2</t>
  </si>
  <si>
    <t>=LOG2(MAX PWM + 1)</t>
  </si>
  <si>
    <t>Basis</t>
  </si>
  <si>
    <t>=(MAX PWM / Factor) ^ (1 / (Steps-1))</t>
  </si>
  <si>
    <t>Originalfunktion / original function</t>
  </si>
  <si>
    <t>PWM2[Index] = Round(2 ^( No-of-Bits1 * (Index+1) / Steps) ); Index=1....Steps-1</t>
  </si>
  <si>
    <t>Alternative Funktion / alternative function</t>
  </si>
  <si>
    <t>PWM3[Index] = Round(2 ^( No-of-Bits2 * (Index+1) / Steps)-1); Index=0....Steps-1</t>
  </si>
  <si>
    <t>Werte zur Generierung der Tabellen aus dem Democode</t>
  </si>
  <si>
    <t>mithilfe der Funktion PWM</t>
  </si>
  <si>
    <t>Tabelle / Table</t>
  </si>
  <si>
    <t>pwmtable_8A</t>
  </si>
  <si>
    <t>pwmtable_8B</t>
  </si>
  <si>
    <t>pwmtable_8C</t>
  </si>
  <si>
    <t>pwmtable_8D</t>
  </si>
  <si>
    <t>pwmtable_10</t>
  </si>
  <si>
    <t>pwmtable_16</t>
  </si>
  <si>
    <t>PWM1[Index] = Round(Factor * Basis^Index); Index=1....Steps-1</t>
  </si>
  <si>
    <t>hallo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</si>
</sst>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0"/>
    <numFmt numFmtId="165" formatCode="[$€-C07]&quot; &quot;#,##0.00;[Red]&quot;-&quot;[$€-C07]&quot; &quot;#,##0.00"/>
  </numFmts>
  <fonts count="8">
    <font>
      <sz val="11"/>
      <color theme="1"/>
      <name val="Arial1"/>
    </font>
    <font>
      <sz val="11"/>
      <color theme="1"/>
      <name val="Arial1"/>
    </font>
    <font>
      <b/>
      <i/>
      <sz val="16"/>
      <color theme="1"/>
      <name val="Arial1"/>
    </font>
    <font>
      <b/>
      <i/>
      <u/>
      <sz val="11"/>
      <color theme="1"/>
      <name val="Arial1"/>
    </font>
    <font>
      <b/>
      <sz val="10"/>
      <color theme="1"/>
      <name val="Arial"/>
      <family val="2"/>
    </font>
    <font>
      <b/>
      <sz val="11"/>
      <color theme="1"/>
      <name val="Arial1"/>
    </font>
    <font>
      <sz val="10"/>
      <color theme="1"/>
      <name val="Arial1"/>
    </font>
    <font>
      <sz val="11"/>
      <color rgb="FF000000"/>
      <name val="Arial1"/>
    </font>
  </fonts>
  <fills count="5">
    <fill>
      <patternFill patternType="none"/>
    </fill>
    <fill>
      <patternFill patternType="gray125"/>
    </fill>
    <fill>
      <patternFill patternType="solid">
        <fgColor rgb="FF66FFFF"/>
        <bgColor rgb="FF66FFFF"/>
      </patternFill>
    </fill>
    <fill>
      <patternFill patternType="solid">
        <fgColor rgb="FF00FF00"/>
        <bgColor rgb="FF00FF00"/>
      </patternFill>
    </fill>
    <fill>
      <patternFill patternType="solid">
        <fgColor rgb="FFFFFF99"/>
        <bgColor rgb="FFFFFF99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2" borderId="0"/>
    <xf numFmtId="0" fontId="2" fillId="0" borderId="0">
      <alignment horizontal="center"/>
    </xf>
    <xf numFmtId="0" fontId="2" fillId="0" borderId="0">
      <alignment horizontal="center" textRotation="90"/>
    </xf>
    <xf numFmtId="0" fontId="3" fillId="0" borderId="0"/>
    <xf numFmtId="165" fontId="3" fillId="0" borderId="0"/>
  </cellStyleXfs>
  <cellXfs count="15">
    <xf numFmtId="0" fontId="0" fillId="0" borderId="0" xfId="0"/>
    <xf numFmtId="0" fontId="4" fillId="0" borderId="0" xfId="0" applyFont="1"/>
    <xf numFmtId="0" fontId="0" fillId="3" borderId="0" xfId="0" applyFill="1"/>
    <xf numFmtId="0" fontId="4" fillId="0" borderId="0" xfId="0" applyFont="1" applyAlignment="1">
      <alignment horizontal="center"/>
    </xf>
    <xf numFmtId="0" fontId="5" fillId="0" borderId="0" xfId="0" applyFont="1"/>
    <xf numFmtId="0" fontId="0" fillId="4" borderId="0" xfId="0" applyFill="1"/>
    <xf numFmtId="0" fontId="5" fillId="0" borderId="0" xfId="0" applyFont="1" applyAlignment="1">
      <alignment horizontal="justify"/>
    </xf>
    <xf numFmtId="164" fontId="0" fillId="4" borderId="0" xfId="0" applyNumberFormat="1" applyFill="1"/>
    <xf numFmtId="0" fontId="1" fillId="2" borderId="0" xfId="1"/>
    <xf numFmtId="0" fontId="5" fillId="0" borderId="1" xfId="0" applyFont="1" applyBorder="1"/>
    <xf numFmtId="0" fontId="0" fillId="0" borderId="1" xfId="0" applyBorder="1"/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49" fontId="5" fillId="0" borderId="0" xfId="0" applyNumberFormat="1" applyFont="1" applyAlignment="1">
      <alignment horizontal="left" vertical="center"/>
    </xf>
  </cellXfs>
  <cellStyles count="6">
    <cellStyle name="ErgebnisPWM" xfId="1"/>
    <cellStyle name="Heading" xfId="2"/>
    <cellStyle name="Heading1" xfId="3"/>
    <cellStyle name="Result" xfId="4"/>
    <cellStyle name="Result2" xfId="5"/>
    <cellStyle name="Standard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c:style val="2"/>
  <c:chart>
    <c:title>
      <c:tx>
        <c:rich>
          <a:bodyPr/>
          <a:lstStyle/>
          <a:p>
            <a:pPr>
              <a:defRPr sz="1300" b="0"/>
            </a:pPr>
            <a:r>
              <a:rPr lang="de-DE"/>
              <a:t>Logarithmische Skala / logarithmic scale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'PWM Table for LED Fading or Dim'!$B$2</c:f>
              <c:strCache>
                <c:ptCount val="1"/>
                <c:pt idx="0">
                  <c:v>PWM</c:v>
                </c:pt>
              </c:strCache>
            </c:strRef>
          </c:tx>
          <c:spPr>
            <a:ln w="12600">
              <a:solidFill>
                <a:srgbClr val="000080"/>
              </a:solidFill>
            </a:ln>
          </c:spPr>
          <c:marker>
            <c:symbol val="none"/>
          </c:marker>
          <c:val>
            <c:numRef>
              <c:f>'PWM Table for LED Fading or Dim'!$B$3:$B$258</c:f>
              <c:numCache>
                <c:formatCode>General</c:formatCode>
                <c:ptCount val="256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13</c:v>
                </c:pt>
                <c:pt idx="52">
                  <c:v>13</c:v>
                </c:pt>
                <c:pt idx="53">
                  <c:v>13</c:v>
                </c:pt>
                <c:pt idx="54">
                  <c:v>14</c:v>
                </c:pt>
                <c:pt idx="55">
                  <c:v>14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16</c:v>
                </c:pt>
                <c:pt idx="60">
                  <c:v>16</c:v>
                </c:pt>
                <c:pt idx="61">
                  <c:v>17</c:v>
                </c:pt>
                <c:pt idx="62">
                  <c:v>17</c:v>
                </c:pt>
                <c:pt idx="63">
                  <c:v>18</c:v>
                </c:pt>
                <c:pt idx="64">
                  <c:v>18</c:v>
                </c:pt>
                <c:pt idx="65">
                  <c:v>19</c:v>
                </c:pt>
                <c:pt idx="66">
                  <c:v>19</c:v>
                </c:pt>
                <c:pt idx="67">
                  <c:v>20</c:v>
                </c:pt>
                <c:pt idx="68">
                  <c:v>21</c:v>
                </c:pt>
                <c:pt idx="69">
                  <c:v>21</c:v>
                </c:pt>
                <c:pt idx="70">
                  <c:v>22</c:v>
                </c:pt>
                <c:pt idx="71">
                  <c:v>22</c:v>
                </c:pt>
                <c:pt idx="72">
                  <c:v>23</c:v>
                </c:pt>
                <c:pt idx="73">
                  <c:v>24</c:v>
                </c:pt>
                <c:pt idx="74">
                  <c:v>24</c:v>
                </c:pt>
                <c:pt idx="75">
                  <c:v>25</c:v>
                </c:pt>
                <c:pt idx="76">
                  <c:v>26</c:v>
                </c:pt>
                <c:pt idx="77">
                  <c:v>27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31</c:v>
                </c:pt>
                <c:pt idx="84">
                  <c:v>32</c:v>
                </c:pt>
                <c:pt idx="85">
                  <c:v>33</c:v>
                </c:pt>
                <c:pt idx="86">
                  <c:v>34</c:v>
                </c:pt>
                <c:pt idx="87">
                  <c:v>35</c:v>
                </c:pt>
                <c:pt idx="88">
                  <c:v>36</c:v>
                </c:pt>
                <c:pt idx="89">
                  <c:v>37</c:v>
                </c:pt>
                <c:pt idx="90">
                  <c:v>38</c:v>
                </c:pt>
                <c:pt idx="91">
                  <c:v>39</c:v>
                </c:pt>
                <c:pt idx="92">
                  <c:v>41</c:v>
                </c:pt>
                <c:pt idx="93">
                  <c:v>42</c:v>
                </c:pt>
                <c:pt idx="94">
                  <c:v>43</c:v>
                </c:pt>
                <c:pt idx="95">
                  <c:v>44</c:v>
                </c:pt>
                <c:pt idx="96">
                  <c:v>45</c:v>
                </c:pt>
                <c:pt idx="97">
                  <c:v>47</c:v>
                </c:pt>
                <c:pt idx="98">
                  <c:v>48</c:v>
                </c:pt>
                <c:pt idx="99">
                  <c:v>49</c:v>
                </c:pt>
                <c:pt idx="100">
                  <c:v>51</c:v>
                </c:pt>
                <c:pt idx="101">
                  <c:v>52</c:v>
                </c:pt>
                <c:pt idx="102">
                  <c:v>54</c:v>
                </c:pt>
                <c:pt idx="103">
                  <c:v>55</c:v>
                </c:pt>
                <c:pt idx="104">
                  <c:v>57</c:v>
                </c:pt>
                <c:pt idx="105">
                  <c:v>59</c:v>
                </c:pt>
                <c:pt idx="106">
                  <c:v>60</c:v>
                </c:pt>
                <c:pt idx="107">
                  <c:v>62</c:v>
                </c:pt>
                <c:pt idx="108">
                  <c:v>64</c:v>
                </c:pt>
                <c:pt idx="109">
                  <c:v>66</c:v>
                </c:pt>
                <c:pt idx="110">
                  <c:v>68</c:v>
                </c:pt>
                <c:pt idx="111">
                  <c:v>69</c:v>
                </c:pt>
                <c:pt idx="112">
                  <c:v>71</c:v>
                </c:pt>
                <c:pt idx="113">
                  <c:v>74</c:v>
                </c:pt>
                <c:pt idx="114">
                  <c:v>76</c:v>
                </c:pt>
                <c:pt idx="115">
                  <c:v>78</c:v>
                </c:pt>
                <c:pt idx="116">
                  <c:v>80</c:v>
                </c:pt>
                <c:pt idx="117">
                  <c:v>82</c:v>
                </c:pt>
                <c:pt idx="118">
                  <c:v>85</c:v>
                </c:pt>
                <c:pt idx="119">
                  <c:v>87</c:v>
                </c:pt>
                <c:pt idx="120">
                  <c:v>90</c:v>
                </c:pt>
                <c:pt idx="121">
                  <c:v>92</c:v>
                </c:pt>
                <c:pt idx="122">
                  <c:v>95</c:v>
                </c:pt>
                <c:pt idx="123">
                  <c:v>98</c:v>
                </c:pt>
                <c:pt idx="124">
                  <c:v>100</c:v>
                </c:pt>
                <c:pt idx="125">
                  <c:v>103</c:v>
                </c:pt>
                <c:pt idx="126">
                  <c:v>106</c:v>
                </c:pt>
                <c:pt idx="127">
                  <c:v>109</c:v>
                </c:pt>
                <c:pt idx="128">
                  <c:v>112</c:v>
                </c:pt>
                <c:pt idx="129">
                  <c:v>116</c:v>
                </c:pt>
                <c:pt idx="130">
                  <c:v>119</c:v>
                </c:pt>
                <c:pt idx="131">
                  <c:v>122</c:v>
                </c:pt>
                <c:pt idx="132">
                  <c:v>126</c:v>
                </c:pt>
                <c:pt idx="133">
                  <c:v>130</c:v>
                </c:pt>
                <c:pt idx="134">
                  <c:v>133</c:v>
                </c:pt>
                <c:pt idx="135">
                  <c:v>137</c:v>
                </c:pt>
                <c:pt idx="136">
                  <c:v>141</c:v>
                </c:pt>
                <c:pt idx="137">
                  <c:v>145</c:v>
                </c:pt>
                <c:pt idx="138">
                  <c:v>149</c:v>
                </c:pt>
                <c:pt idx="139">
                  <c:v>153</c:v>
                </c:pt>
                <c:pt idx="140">
                  <c:v>158</c:v>
                </c:pt>
                <c:pt idx="141">
                  <c:v>162</c:v>
                </c:pt>
                <c:pt idx="142">
                  <c:v>167</c:v>
                </c:pt>
                <c:pt idx="143">
                  <c:v>172</c:v>
                </c:pt>
                <c:pt idx="144">
                  <c:v>177</c:v>
                </c:pt>
                <c:pt idx="145">
                  <c:v>182</c:v>
                </c:pt>
                <c:pt idx="146">
                  <c:v>187</c:v>
                </c:pt>
                <c:pt idx="147">
                  <c:v>193</c:v>
                </c:pt>
                <c:pt idx="148">
                  <c:v>198</c:v>
                </c:pt>
                <c:pt idx="149">
                  <c:v>204</c:v>
                </c:pt>
                <c:pt idx="150">
                  <c:v>210</c:v>
                </c:pt>
                <c:pt idx="151">
                  <c:v>216</c:v>
                </c:pt>
                <c:pt idx="152">
                  <c:v>222</c:v>
                </c:pt>
                <c:pt idx="153">
                  <c:v>228</c:v>
                </c:pt>
                <c:pt idx="154">
                  <c:v>235</c:v>
                </c:pt>
                <c:pt idx="155">
                  <c:v>241</c:v>
                </c:pt>
                <c:pt idx="156">
                  <c:v>248</c:v>
                </c:pt>
                <c:pt idx="157">
                  <c:v>255</c:v>
                </c:pt>
                <c:pt idx="158">
                  <c:v>263</c:v>
                </c:pt>
                <c:pt idx="159">
                  <c:v>270</c:v>
                </c:pt>
                <c:pt idx="160">
                  <c:v>278</c:v>
                </c:pt>
                <c:pt idx="161">
                  <c:v>286</c:v>
                </c:pt>
                <c:pt idx="162">
                  <c:v>294</c:v>
                </c:pt>
                <c:pt idx="163">
                  <c:v>303</c:v>
                </c:pt>
                <c:pt idx="164">
                  <c:v>311</c:v>
                </c:pt>
                <c:pt idx="165">
                  <c:v>320</c:v>
                </c:pt>
                <c:pt idx="166">
                  <c:v>330</c:v>
                </c:pt>
                <c:pt idx="167">
                  <c:v>339</c:v>
                </c:pt>
                <c:pt idx="168">
                  <c:v>349</c:v>
                </c:pt>
                <c:pt idx="169">
                  <c:v>359</c:v>
                </c:pt>
                <c:pt idx="170">
                  <c:v>369</c:v>
                </c:pt>
                <c:pt idx="171">
                  <c:v>380</c:v>
                </c:pt>
                <c:pt idx="172">
                  <c:v>391</c:v>
                </c:pt>
                <c:pt idx="173">
                  <c:v>402</c:v>
                </c:pt>
                <c:pt idx="174">
                  <c:v>413</c:v>
                </c:pt>
                <c:pt idx="175">
                  <c:v>425</c:v>
                </c:pt>
                <c:pt idx="176">
                  <c:v>437</c:v>
                </c:pt>
                <c:pt idx="177">
                  <c:v>450</c:v>
                </c:pt>
                <c:pt idx="178">
                  <c:v>463</c:v>
                </c:pt>
                <c:pt idx="179">
                  <c:v>476</c:v>
                </c:pt>
                <c:pt idx="180">
                  <c:v>490</c:v>
                </c:pt>
                <c:pt idx="181">
                  <c:v>504</c:v>
                </c:pt>
                <c:pt idx="182">
                  <c:v>518</c:v>
                </c:pt>
                <c:pt idx="183">
                  <c:v>533</c:v>
                </c:pt>
                <c:pt idx="184">
                  <c:v>549</c:v>
                </c:pt>
                <c:pt idx="185">
                  <c:v>564</c:v>
                </c:pt>
                <c:pt idx="186">
                  <c:v>581</c:v>
                </c:pt>
                <c:pt idx="187">
                  <c:v>597</c:v>
                </c:pt>
                <c:pt idx="188">
                  <c:v>614</c:v>
                </c:pt>
                <c:pt idx="189">
                  <c:v>632</c:v>
                </c:pt>
                <c:pt idx="190">
                  <c:v>650</c:v>
                </c:pt>
                <c:pt idx="191">
                  <c:v>669</c:v>
                </c:pt>
                <c:pt idx="192">
                  <c:v>688</c:v>
                </c:pt>
                <c:pt idx="193">
                  <c:v>708</c:v>
                </c:pt>
                <c:pt idx="194">
                  <c:v>728</c:v>
                </c:pt>
                <c:pt idx="195">
                  <c:v>749</c:v>
                </c:pt>
                <c:pt idx="196">
                  <c:v>771</c:v>
                </c:pt>
                <c:pt idx="197">
                  <c:v>793</c:v>
                </c:pt>
                <c:pt idx="198">
                  <c:v>816</c:v>
                </c:pt>
                <c:pt idx="199">
                  <c:v>839</c:v>
                </c:pt>
                <c:pt idx="200">
                  <c:v>863</c:v>
                </c:pt>
                <c:pt idx="201">
                  <c:v>888</c:v>
                </c:pt>
                <c:pt idx="202">
                  <c:v>913</c:v>
                </c:pt>
                <c:pt idx="203">
                  <c:v>940</c:v>
                </c:pt>
                <c:pt idx="204">
                  <c:v>967</c:v>
                </c:pt>
                <c:pt idx="205">
                  <c:v>994</c:v>
                </c:pt>
                <c:pt idx="206">
                  <c:v>1023</c:v>
                </c:pt>
                <c:pt idx="207">
                  <c:v>1052</c:v>
                </c:pt>
                <c:pt idx="208">
                  <c:v>1082</c:v>
                </c:pt>
                <c:pt idx="209">
                  <c:v>1114</c:v>
                </c:pt>
                <c:pt idx="210">
                  <c:v>1146</c:v>
                </c:pt>
                <c:pt idx="211">
                  <c:v>1178</c:v>
                </c:pt>
                <c:pt idx="212">
                  <c:v>1212</c:v>
                </c:pt>
                <c:pt idx="213">
                  <c:v>1247</c:v>
                </c:pt>
                <c:pt idx="214">
                  <c:v>1283</c:v>
                </c:pt>
                <c:pt idx="215">
                  <c:v>1320</c:v>
                </c:pt>
                <c:pt idx="216">
                  <c:v>1358</c:v>
                </c:pt>
                <c:pt idx="217">
                  <c:v>1397</c:v>
                </c:pt>
                <c:pt idx="218">
                  <c:v>1437</c:v>
                </c:pt>
                <c:pt idx="219">
                  <c:v>1478</c:v>
                </c:pt>
                <c:pt idx="220">
                  <c:v>1520</c:v>
                </c:pt>
                <c:pt idx="221">
                  <c:v>1564</c:v>
                </c:pt>
                <c:pt idx="222">
                  <c:v>1609</c:v>
                </c:pt>
                <c:pt idx="223">
                  <c:v>1655</c:v>
                </c:pt>
                <c:pt idx="224">
                  <c:v>1703</c:v>
                </c:pt>
                <c:pt idx="225">
                  <c:v>1752</c:v>
                </c:pt>
                <c:pt idx="226">
                  <c:v>1802</c:v>
                </c:pt>
                <c:pt idx="227">
                  <c:v>1854</c:v>
                </c:pt>
                <c:pt idx="228">
                  <c:v>1907</c:v>
                </c:pt>
                <c:pt idx="229">
                  <c:v>1962</c:v>
                </c:pt>
                <c:pt idx="230">
                  <c:v>2018</c:v>
                </c:pt>
                <c:pt idx="231">
                  <c:v>2076</c:v>
                </c:pt>
                <c:pt idx="232">
                  <c:v>2135</c:v>
                </c:pt>
                <c:pt idx="233">
                  <c:v>2197</c:v>
                </c:pt>
                <c:pt idx="234">
                  <c:v>2260</c:v>
                </c:pt>
                <c:pt idx="235">
                  <c:v>2325</c:v>
                </c:pt>
                <c:pt idx="236">
                  <c:v>2391</c:v>
                </c:pt>
                <c:pt idx="237">
                  <c:v>2460</c:v>
                </c:pt>
                <c:pt idx="238">
                  <c:v>2531</c:v>
                </c:pt>
                <c:pt idx="239">
                  <c:v>2603</c:v>
                </c:pt>
                <c:pt idx="240">
                  <c:v>2678</c:v>
                </c:pt>
                <c:pt idx="241">
                  <c:v>2755</c:v>
                </c:pt>
                <c:pt idx="242">
                  <c:v>2834</c:v>
                </c:pt>
                <c:pt idx="243">
                  <c:v>2916</c:v>
                </c:pt>
                <c:pt idx="244">
                  <c:v>2999</c:v>
                </c:pt>
                <c:pt idx="245">
                  <c:v>3085</c:v>
                </c:pt>
                <c:pt idx="246">
                  <c:v>3174</c:v>
                </c:pt>
                <c:pt idx="247">
                  <c:v>3265</c:v>
                </c:pt>
                <c:pt idx="248">
                  <c:v>3359</c:v>
                </c:pt>
                <c:pt idx="249">
                  <c:v>3455</c:v>
                </c:pt>
                <c:pt idx="250">
                  <c:v>3555</c:v>
                </c:pt>
                <c:pt idx="251">
                  <c:v>3657</c:v>
                </c:pt>
                <c:pt idx="252">
                  <c:v>3762</c:v>
                </c:pt>
                <c:pt idx="253">
                  <c:v>3870</c:v>
                </c:pt>
                <c:pt idx="254">
                  <c:v>3981</c:v>
                </c:pt>
                <c:pt idx="255">
                  <c:v>4095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'PWM Table for LED Fading or Dim'!$C$2</c:f>
              <c:strCache>
                <c:ptCount val="1"/>
                <c:pt idx="0">
                  <c:v>PWM2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none"/>
          </c:marker>
          <c:val>
            <c:numRef>
              <c:f>'PWM Table for LED Fading or Dim'!$C$3:$C$258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12</c:v>
                </c:pt>
                <c:pt idx="76">
                  <c:v>12</c:v>
                </c:pt>
                <c:pt idx="77">
                  <c:v>13</c:v>
                </c:pt>
                <c:pt idx="78">
                  <c:v>13</c:v>
                </c:pt>
                <c:pt idx="79">
                  <c:v>13</c:v>
                </c:pt>
                <c:pt idx="80">
                  <c:v>14</c:v>
                </c:pt>
                <c:pt idx="81">
                  <c:v>14</c:v>
                </c:pt>
                <c:pt idx="82">
                  <c:v>15</c:v>
                </c:pt>
                <c:pt idx="83">
                  <c:v>15</c:v>
                </c:pt>
                <c:pt idx="84">
                  <c:v>16</c:v>
                </c:pt>
                <c:pt idx="85">
                  <c:v>16</c:v>
                </c:pt>
                <c:pt idx="86">
                  <c:v>17</c:v>
                </c:pt>
                <c:pt idx="87">
                  <c:v>17</c:v>
                </c:pt>
                <c:pt idx="88">
                  <c:v>18</c:v>
                </c:pt>
                <c:pt idx="89">
                  <c:v>19</c:v>
                </c:pt>
                <c:pt idx="90">
                  <c:v>19</c:v>
                </c:pt>
                <c:pt idx="91">
                  <c:v>20</c:v>
                </c:pt>
                <c:pt idx="92">
                  <c:v>21</c:v>
                </c:pt>
                <c:pt idx="93">
                  <c:v>21</c:v>
                </c:pt>
                <c:pt idx="94">
                  <c:v>22</c:v>
                </c:pt>
                <c:pt idx="95">
                  <c:v>23</c:v>
                </c:pt>
                <c:pt idx="96">
                  <c:v>23</c:v>
                </c:pt>
                <c:pt idx="97">
                  <c:v>24</c:v>
                </c:pt>
                <c:pt idx="98">
                  <c:v>25</c:v>
                </c:pt>
                <c:pt idx="99">
                  <c:v>26</c:v>
                </c:pt>
                <c:pt idx="100">
                  <c:v>27</c:v>
                </c:pt>
                <c:pt idx="101">
                  <c:v>27</c:v>
                </c:pt>
                <c:pt idx="102">
                  <c:v>28</c:v>
                </c:pt>
                <c:pt idx="103">
                  <c:v>29</c:v>
                </c:pt>
                <c:pt idx="104">
                  <c:v>30</c:v>
                </c:pt>
                <c:pt idx="105">
                  <c:v>31</c:v>
                </c:pt>
                <c:pt idx="106">
                  <c:v>32</c:v>
                </c:pt>
                <c:pt idx="107">
                  <c:v>33</c:v>
                </c:pt>
                <c:pt idx="108">
                  <c:v>35</c:v>
                </c:pt>
                <c:pt idx="109">
                  <c:v>36</c:v>
                </c:pt>
                <c:pt idx="110">
                  <c:v>37</c:v>
                </c:pt>
                <c:pt idx="111">
                  <c:v>38</c:v>
                </c:pt>
                <c:pt idx="112">
                  <c:v>39</c:v>
                </c:pt>
                <c:pt idx="113">
                  <c:v>41</c:v>
                </c:pt>
                <c:pt idx="114">
                  <c:v>42</c:v>
                </c:pt>
                <c:pt idx="115">
                  <c:v>43</c:v>
                </c:pt>
                <c:pt idx="116">
                  <c:v>45</c:v>
                </c:pt>
                <c:pt idx="117">
                  <c:v>46</c:v>
                </c:pt>
                <c:pt idx="118">
                  <c:v>48</c:v>
                </c:pt>
                <c:pt idx="119">
                  <c:v>49</c:v>
                </c:pt>
                <c:pt idx="120">
                  <c:v>51</c:v>
                </c:pt>
                <c:pt idx="121">
                  <c:v>53</c:v>
                </c:pt>
                <c:pt idx="122">
                  <c:v>54</c:v>
                </c:pt>
                <c:pt idx="123">
                  <c:v>56</c:v>
                </c:pt>
                <c:pt idx="124">
                  <c:v>58</c:v>
                </c:pt>
                <c:pt idx="125">
                  <c:v>60</c:v>
                </c:pt>
                <c:pt idx="126">
                  <c:v>62</c:v>
                </c:pt>
                <c:pt idx="127">
                  <c:v>64</c:v>
                </c:pt>
                <c:pt idx="128">
                  <c:v>66</c:v>
                </c:pt>
                <c:pt idx="129">
                  <c:v>68</c:v>
                </c:pt>
                <c:pt idx="130">
                  <c:v>71</c:v>
                </c:pt>
                <c:pt idx="131">
                  <c:v>73</c:v>
                </c:pt>
                <c:pt idx="132">
                  <c:v>75</c:v>
                </c:pt>
                <c:pt idx="133">
                  <c:v>78</c:v>
                </c:pt>
                <c:pt idx="134">
                  <c:v>80</c:v>
                </c:pt>
                <c:pt idx="135">
                  <c:v>83</c:v>
                </c:pt>
                <c:pt idx="136">
                  <c:v>86</c:v>
                </c:pt>
                <c:pt idx="137">
                  <c:v>89</c:v>
                </c:pt>
                <c:pt idx="138">
                  <c:v>91</c:v>
                </c:pt>
                <c:pt idx="139">
                  <c:v>95</c:v>
                </c:pt>
                <c:pt idx="140">
                  <c:v>98</c:v>
                </c:pt>
                <c:pt idx="141">
                  <c:v>101</c:v>
                </c:pt>
                <c:pt idx="142">
                  <c:v>104</c:v>
                </c:pt>
                <c:pt idx="143">
                  <c:v>108</c:v>
                </c:pt>
                <c:pt idx="144">
                  <c:v>111</c:v>
                </c:pt>
                <c:pt idx="145">
                  <c:v>115</c:v>
                </c:pt>
                <c:pt idx="146">
                  <c:v>119</c:v>
                </c:pt>
                <c:pt idx="147">
                  <c:v>123</c:v>
                </c:pt>
                <c:pt idx="148">
                  <c:v>127</c:v>
                </c:pt>
                <c:pt idx="149">
                  <c:v>131</c:v>
                </c:pt>
                <c:pt idx="150">
                  <c:v>135</c:v>
                </c:pt>
                <c:pt idx="151">
                  <c:v>140</c:v>
                </c:pt>
                <c:pt idx="152">
                  <c:v>144</c:v>
                </c:pt>
                <c:pt idx="153">
                  <c:v>149</c:v>
                </c:pt>
                <c:pt idx="154">
                  <c:v>154</c:v>
                </c:pt>
                <c:pt idx="155">
                  <c:v>159</c:v>
                </c:pt>
                <c:pt idx="156">
                  <c:v>164</c:v>
                </c:pt>
                <c:pt idx="157">
                  <c:v>170</c:v>
                </c:pt>
                <c:pt idx="158">
                  <c:v>175</c:v>
                </c:pt>
                <c:pt idx="159">
                  <c:v>181</c:v>
                </c:pt>
                <c:pt idx="160">
                  <c:v>187</c:v>
                </c:pt>
                <c:pt idx="161">
                  <c:v>193</c:v>
                </c:pt>
                <c:pt idx="162">
                  <c:v>200</c:v>
                </c:pt>
                <c:pt idx="163">
                  <c:v>206</c:v>
                </c:pt>
                <c:pt idx="164">
                  <c:v>213</c:v>
                </c:pt>
                <c:pt idx="165">
                  <c:v>220</c:v>
                </c:pt>
                <c:pt idx="166">
                  <c:v>227</c:v>
                </c:pt>
                <c:pt idx="167">
                  <c:v>235</c:v>
                </c:pt>
                <c:pt idx="168">
                  <c:v>242</c:v>
                </c:pt>
                <c:pt idx="169">
                  <c:v>250</c:v>
                </c:pt>
                <c:pt idx="170">
                  <c:v>259</c:v>
                </c:pt>
                <c:pt idx="171">
                  <c:v>267</c:v>
                </c:pt>
                <c:pt idx="172">
                  <c:v>276</c:v>
                </c:pt>
                <c:pt idx="173">
                  <c:v>285</c:v>
                </c:pt>
                <c:pt idx="174">
                  <c:v>295</c:v>
                </c:pt>
                <c:pt idx="175">
                  <c:v>304</c:v>
                </c:pt>
                <c:pt idx="176">
                  <c:v>314</c:v>
                </c:pt>
                <c:pt idx="177">
                  <c:v>325</c:v>
                </c:pt>
                <c:pt idx="178">
                  <c:v>336</c:v>
                </c:pt>
                <c:pt idx="179">
                  <c:v>347</c:v>
                </c:pt>
                <c:pt idx="180">
                  <c:v>358</c:v>
                </c:pt>
                <c:pt idx="181">
                  <c:v>370</c:v>
                </c:pt>
                <c:pt idx="182">
                  <c:v>382</c:v>
                </c:pt>
                <c:pt idx="183">
                  <c:v>395</c:v>
                </c:pt>
                <c:pt idx="184">
                  <c:v>408</c:v>
                </c:pt>
                <c:pt idx="185">
                  <c:v>421</c:v>
                </c:pt>
                <c:pt idx="186">
                  <c:v>435</c:v>
                </c:pt>
                <c:pt idx="187">
                  <c:v>450</c:v>
                </c:pt>
                <c:pt idx="188">
                  <c:v>464</c:v>
                </c:pt>
                <c:pt idx="189">
                  <c:v>480</c:v>
                </c:pt>
                <c:pt idx="190">
                  <c:v>496</c:v>
                </c:pt>
                <c:pt idx="191">
                  <c:v>512</c:v>
                </c:pt>
                <c:pt idx="192">
                  <c:v>529</c:v>
                </c:pt>
                <c:pt idx="193">
                  <c:v>546</c:v>
                </c:pt>
                <c:pt idx="194">
                  <c:v>564</c:v>
                </c:pt>
                <c:pt idx="195">
                  <c:v>583</c:v>
                </c:pt>
                <c:pt idx="196">
                  <c:v>602</c:v>
                </c:pt>
                <c:pt idx="197">
                  <c:v>622</c:v>
                </c:pt>
                <c:pt idx="198">
                  <c:v>643</c:v>
                </c:pt>
                <c:pt idx="199">
                  <c:v>664</c:v>
                </c:pt>
                <c:pt idx="200">
                  <c:v>686</c:v>
                </c:pt>
                <c:pt idx="201">
                  <c:v>708</c:v>
                </c:pt>
                <c:pt idx="202">
                  <c:v>732</c:v>
                </c:pt>
                <c:pt idx="203">
                  <c:v>756</c:v>
                </c:pt>
                <c:pt idx="204">
                  <c:v>781</c:v>
                </c:pt>
                <c:pt idx="205">
                  <c:v>807</c:v>
                </c:pt>
                <c:pt idx="206">
                  <c:v>833</c:v>
                </c:pt>
                <c:pt idx="207">
                  <c:v>861</c:v>
                </c:pt>
                <c:pt idx="208">
                  <c:v>889</c:v>
                </c:pt>
                <c:pt idx="209">
                  <c:v>919</c:v>
                </c:pt>
                <c:pt idx="210">
                  <c:v>949</c:v>
                </c:pt>
                <c:pt idx="211">
                  <c:v>980</c:v>
                </c:pt>
                <c:pt idx="212">
                  <c:v>1013</c:v>
                </c:pt>
                <c:pt idx="213">
                  <c:v>1046</c:v>
                </c:pt>
                <c:pt idx="214">
                  <c:v>1081</c:v>
                </c:pt>
                <c:pt idx="215">
                  <c:v>1116</c:v>
                </c:pt>
                <c:pt idx="216">
                  <c:v>1153</c:v>
                </c:pt>
                <c:pt idx="217">
                  <c:v>1191</c:v>
                </c:pt>
                <c:pt idx="218">
                  <c:v>1231</c:v>
                </c:pt>
                <c:pt idx="219">
                  <c:v>1271</c:v>
                </c:pt>
                <c:pt idx="220">
                  <c:v>1313</c:v>
                </c:pt>
                <c:pt idx="221">
                  <c:v>1357</c:v>
                </c:pt>
                <c:pt idx="222">
                  <c:v>1402</c:v>
                </c:pt>
                <c:pt idx="223">
                  <c:v>1448</c:v>
                </c:pt>
                <c:pt idx="224">
                  <c:v>1496</c:v>
                </c:pt>
                <c:pt idx="225">
                  <c:v>1545</c:v>
                </c:pt>
                <c:pt idx="226">
                  <c:v>1596</c:v>
                </c:pt>
                <c:pt idx="227">
                  <c:v>1649</c:v>
                </c:pt>
                <c:pt idx="228">
                  <c:v>1703</c:v>
                </c:pt>
                <c:pt idx="229">
                  <c:v>1759</c:v>
                </c:pt>
                <c:pt idx="230">
                  <c:v>1818</c:v>
                </c:pt>
                <c:pt idx="231">
                  <c:v>1878</c:v>
                </c:pt>
                <c:pt idx="232">
                  <c:v>1940</c:v>
                </c:pt>
                <c:pt idx="233">
                  <c:v>2004</c:v>
                </c:pt>
                <c:pt idx="234">
                  <c:v>2070</c:v>
                </c:pt>
                <c:pt idx="235">
                  <c:v>2138</c:v>
                </c:pt>
                <c:pt idx="236">
                  <c:v>2209</c:v>
                </c:pt>
                <c:pt idx="237">
                  <c:v>2282</c:v>
                </c:pt>
                <c:pt idx="238">
                  <c:v>2357</c:v>
                </c:pt>
                <c:pt idx="239">
                  <c:v>2435</c:v>
                </c:pt>
                <c:pt idx="240">
                  <c:v>2515</c:v>
                </c:pt>
                <c:pt idx="241">
                  <c:v>2598</c:v>
                </c:pt>
                <c:pt idx="242">
                  <c:v>2684</c:v>
                </c:pt>
                <c:pt idx="243">
                  <c:v>2773</c:v>
                </c:pt>
                <c:pt idx="244">
                  <c:v>2864</c:v>
                </c:pt>
                <c:pt idx="245">
                  <c:v>2959</c:v>
                </c:pt>
                <c:pt idx="246">
                  <c:v>3057</c:v>
                </c:pt>
                <c:pt idx="247">
                  <c:v>3158</c:v>
                </c:pt>
                <c:pt idx="248">
                  <c:v>3262</c:v>
                </c:pt>
                <c:pt idx="249">
                  <c:v>3370</c:v>
                </c:pt>
                <c:pt idx="250">
                  <c:v>3481</c:v>
                </c:pt>
                <c:pt idx="251">
                  <c:v>3596</c:v>
                </c:pt>
                <c:pt idx="252">
                  <c:v>3715</c:v>
                </c:pt>
                <c:pt idx="253">
                  <c:v>3837</c:v>
                </c:pt>
                <c:pt idx="254">
                  <c:v>3964</c:v>
                </c:pt>
                <c:pt idx="255">
                  <c:v>4095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'PWM Table for LED Fading or Dim'!$D$2</c:f>
              <c:strCache>
                <c:ptCount val="1"/>
                <c:pt idx="0">
                  <c:v>PWM3</c:v>
                </c:pt>
              </c:strCache>
            </c:strRef>
          </c:tx>
          <c:marker>
            <c:symbol val="none"/>
          </c:marker>
          <c:val>
            <c:numRef>
              <c:f>'PWM Table for LED Fading or Dim'!$D$3:$D$258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13</c:v>
                </c:pt>
                <c:pt idx="81">
                  <c:v>13</c:v>
                </c:pt>
                <c:pt idx="82">
                  <c:v>14</c:v>
                </c:pt>
                <c:pt idx="83">
                  <c:v>14</c:v>
                </c:pt>
                <c:pt idx="84">
                  <c:v>15</c:v>
                </c:pt>
                <c:pt idx="85">
                  <c:v>15</c:v>
                </c:pt>
                <c:pt idx="86">
                  <c:v>16</c:v>
                </c:pt>
                <c:pt idx="87">
                  <c:v>16</c:v>
                </c:pt>
                <c:pt idx="88">
                  <c:v>17</c:v>
                </c:pt>
                <c:pt idx="89">
                  <c:v>18</c:v>
                </c:pt>
                <c:pt idx="90">
                  <c:v>18</c:v>
                </c:pt>
                <c:pt idx="91">
                  <c:v>19</c:v>
                </c:pt>
                <c:pt idx="92">
                  <c:v>20</c:v>
                </c:pt>
                <c:pt idx="93">
                  <c:v>20</c:v>
                </c:pt>
                <c:pt idx="94">
                  <c:v>21</c:v>
                </c:pt>
                <c:pt idx="95">
                  <c:v>22</c:v>
                </c:pt>
                <c:pt idx="96">
                  <c:v>22</c:v>
                </c:pt>
                <c:pt idx="97">
                  <c:v>23</c:v>
                </c:pt>
                <c:pt idx="98">
                  <c:v>24</c:v>
                </c:pt>
                <c:pt idx="99">
                  <c:v>25</c:v>
                </c:pt>
                <c:pt idx="100">
                  <c:v>26</c:v>
                </c:pt>
                <c:pt idx="101">
                  <c:v>26</c:v>
                </c:pt>
                <c:pt idx="102">
                  <c:v>27</c:v>
                </c:pt>
                <c:pt idx="103">
                  <c:v>28</c:v>
                </c:pt>
                <c:pt idx="104">
                  <c:v>29</c:v>
                </c:pt>
                <c:pt idx="105">
                  <c:v>30</c:v>
                </c:pt>
                <c:pt idx="106">
                  <c:v>31</c:v>
                </c:pt>
                <c:pt idx="107">
                  <c:v>32</c:v>
                </c:pt>
                <c:pt idx="108">
                  <c:v>34</c:v>
                </c:pt>
                <c:pt idx="109">
                  <c:v>35</c:v>
                </c:pt>
                <c:pt idx="110">
                  <c:v>36</c:v>
                </c:pt>
                <c:pt idx="111">
                  <c:v>37</c:v>
                </c:pt>
                <c:pt idx="112">
                  <c:v>38</c:v>
                </c:pt>
                <c:pt idx="113">
                  <c:v>40</c:v>
                </c:pt>
                <c:pt idx="114">
                  <c:v>41</c:v>
                </c:pt>
                <c:pt idx="115">
                  <c:v>42</c:v>
                </c:pt>
                <c:pt idx="116">
                  <c:v>44</c:v>
                </c:pt>
                <c:pt idx="117">
                  <c:v>45</c:v>
                </c:pt>
                <c:pt idx="118">
                  <c:v>47</c:v>
                </c:pt>
                <c:pt idx="119">
                  <c:v>48</c:v>
                </c:pt>
                <c:pt idx="120">
                  <c:v>50</c:v>
                </c:pt>
                <c:pt idx="121">
                  <c:v>52</c:v>
                </c:pt>
                <c:pt idx="122">
                  <c:v>53</c:v>
                </c:pt>
                <c:pt idx="123">
                  <c:v>55</c:v>
                </c:pt>
                <c:pt idx="124">
                  <c:v>57</c:v>
                </c:pt>
                <c:pt idx="125">
                  <c:v>59</c:v>
                </c:pt>
                <c:pt idx="126">
                  <c:v>61</c:v>
                </c:pt>
                <c:pt idx="127">
                  <c:v>63</c:v>
                </c:pt>
                <c:pt idx="128">
                  <c:v>65</c:v>
                </c:pt>
                <c:pt idx="129">
                  <c:v>67</c:v>
                </c:pt>
                <c:pt idx="130">
                  <c:v>70</c:v>
                </c:pt>
                <c:pt idx="131">
                  <c:v>72</c:v>
                </c:pt>
                <c:pt idx="132">
                  <c:v>74</c:v>
                </c:pt>
                <c:pt idx="133">
                  <c:v>77</c:v>
                </c:pt>
                <c:pt idx="134">
                  <c:v>79</c:v>
                </c:pt>
                <c:pt idx="135">
                  <c:v>82</c:v>
                </c:pt>
                <c:pt idx="136">
                  <c:v>85</c:v>
                </c:pt>
                <c:pt idx="137">
                  <c:v>88</c:v>
                </c:pt>
                <c:pt idx="138">
                  <c:v>90</c:v>
                </c:pt>
                <c:pt idx="139">
                  <c:v>94</c:v>
                </c:pt>
                <c:pt idx="140">
                  <c:v>97</c:v>
                </c:pt>
                <c:pt idx="141">
                  <c:v>100</c:v>
                </c:pt>
                <c:pt idx="142">
                  <c:v>103</c:v>
                </c:pt>
                <c:pt idx="143">
                  <c:v>107</c:v>
                </c:pt>
                <c:pt idx="144">
                  <c:v>110</c:v>
                </c:pt>
                <c:pt idx="145">
                  <c:v>114</c:v>
                </c:pt>
                <c:pt idx="146">
                  <c:v>118</c:v>
                </c:pt>
                <c:pt idx="147">
                  <c:v>122</c:v>
                </c:pt>
                <c:pt idx="148">
                  <c:v>126</c:v>
                </c:pt>
                <c:pt idx="149">
                  <c:v>130</c:v>
                </c:pt>
                <c:pt idx="150">
                  <c:v>134</c:v>
                </c:pt>
                <c:pt idx="151">
                  <c:v>139</c:v>
                </c:pt>
                <c:pt idx="152">
                  <c:v>143</c:v>
                </c:pt>
                <c:pt idx="153">
                  <c:v>148</c:v>
                </c:pt>
                <c:pt idx="154">
                  <c:v>153</c:v>
                </c:pt>
                <c:pt idx="155">
                  <c:v>158</c:v>
                </c:pt>
                <c:pt idx="156">
                  <c:v>163</c:v>
                </c:pt>
                <c:pt idx="157">
                  <c:v>169</c:v>
                </c:pt>
                <c:pt idx="158">
                  <c:v>174</c:v>
                </c:pt>
                <c:pt idx="159">
                  <c:v>180</c:v>
                </c:pt>
                <c:pt idx="160">
                  <c:v>186</c:v>
                </c:pt>
                <c:pt idx="161">
                  <c:v>192</c:v>
                </c:pt>
                <c:pt idx="162">
                  <c:v>199</c:v>
                </c:pt>
                <c:pt idx="163">
                  <c:v>205</c:v>
                </c:pt>
                <c:pt idx="164">
                  <c:v>212</c:v>
                </c:pt>
                <c:pt idx="165">
                  <c:v>219</c:v>
                </c:pt>
                <c:pt idx="166">
                  <c:v>226</c:v>
                </c:pt>
                <c:pt idx="167">
                  <c:v>234</c:v>
                </c:pt>
                <c:pt idx="168">
                  <c:v>242</c:v>
                </c:pt>
                <c:pt idx="169">
                  <c:v>250</c:v>
                </c:pt>
                <c:pt idx="170">
                  <c:v>258</c:v>
                </c:pt>
                <c:pt idx="171">
                  <c:v>266</c:v>
                </c:pt>
                <c:pt idx="172">
                  <c:v>275</c:v>
                </c:pt>
                <c:pt idx="173">
                  <c:v>284</c:v>
                </c:pt>
                <c:pt idx="174">
                  <c:v>294</c:v>
                </c:pt>
                <c:pt idx="175">
                  <c:v>303</c:v>
                </c:pt>
                <c:pt idx="176">
                  <c:v>313</c:v>
                </c:pt>
                <c:pt idx="177">
                  <c:v>324</c:v>
                </c:pt>
                <c:pt idx="178">
                  <c:v>335</c:v>
                </c:pt>
                <c:pt idx="179">
                  <c:v>346</c:v>
                </c:pt>
                <c:pt idx="180">
                  <c:v>357</c:v>
                </c:pt>
                <c:pt idx="181">
                  <c:v>369</c:v>
                </c:pt>
                <c:pt idx="182">
                  <c:v>381</c:v>
                </c:pt>
                <c:pt idx="183">
                  <c:v>394</c:v>
                </c:pt>
                <c:pt idx="184">
                  <c:v>407</c:v>
                </c:pt>
                <c:pt idx="185">
                  <c:v>420</c:v>
                </c:pt>
                <c:pt idx="186">
                  <c:v>434</c:v>
                </c:pt>
                <c:pt idx="187">
                  <c:v>449</c:v>
                </c:pt>
                <c:pt idx="188">
                  <c:v>463</c:v>
                </c:pt>
                <c:pt idx="189">
                  <c:v>479</c:v>
                </c:pt>
                <c:pt idx="190">
                  <c:v>495</c:v>
                </c:pt>
                <c:pt idx="191">
                  <c:v>511</c:v>
                </c:pt>
                <c:pt idx="192">
                  <c:v>528</c:v>
                </c:pt>
                <c:pt idx="193">
                  <c:v>545</c:v>
                </c:pt>
                <c:pt idx="194">
                  <c:v>563</c:v>
                </c:pt>
                <c:pt idx="195">
                  <c:v>582</c:v>
                </c:pt>
                <c:pt idx="196">
                  <c:v>601</c:v>
                </c:pt>
                <c:pt idx="197">
                  <c:v>621</c:v>
                </c:pt>
                <c:pt idx="198">
                  <c:v>642</c:v>
                </c:pt>
                <c:pt idx="199">
                  <c:v>663</c:v>
                </c:pt>
                <c:pt idx="200">
                  <c:v>685</c:v>
                </c:pt>
                <c:pt idx="201">
                  <c:v>708</c:v>
                </c:pt>
                <c:pt idx="202">
                  <c:v>731</c:v>
                </c:pt>
                <c:pt idx="203">
                  <c:v>755</c:v>
                </c:pt>
                <c:pt idx="204">
                  <c:v>780</c:v>
                </c:pt>
                <c:pt idx="205">
                  <c:v>806</c:v>
                </c:pt>
                <c:pt idx="206">
                  <c:v>833</c:v>
                </c:pt>
                <c:pt idx="207">
                  <c:v>860</c:v>
                </c:pt>
                <c:pt idx="208">
                  <c:v>889</c:v>
                </c:pt>
                <c:pt idx="209">
                  <c:v>918</c:v>
                </c:pt>
                <c:pt idx="210">
                  <c:v>948</c:v>
                </c:pt>
                <c:pt idx="211">
                  <c:v>980</c:v>
                </c:pt>
                <c:pt idx="212">
                  <c:v>1012</c:v>
                </c:pt>
                <c:pt idx="213">
                  <c:v>1045</c:v>
                </c:pt>
                <c:pt idx="214">
                  <c:v>1080</c:v>
                </c:pt>
                <c:pt idx="215">
                  <c:v>1116</c:v>
                </c:pt>
                <c:pt idx="216">
                  <c:v>1153</c:v>
                </c:pt>
                <c:pt idx="217">
                  <c:v>1191</c:v>
                </c:pt>
                <c:pt idx="218">
                  <c:v>1230</c:v>
                </c:pt>
                <c:pt idx="219">
                  <c:v>1271</c:v>
                </c:pt>
                <c:pt idx="220">
                  <c:v>1313</c:v>
                </c:pt>
                <c:pt idx="221">
                  <c:v>1356</c:v>
                </c:pt>
                <c:pt idx="222">
                  <c:v>1401</c:v>
                </c:pt>
                <c:pt idx="223">
                  <c:v>1447</c:v>
                </c:pt>
                <c:pt idx="224">
                  <c:v>1495</c:v>
                </c:pt>
                <c:pt idx="225">
                  <c:v>1544</c:v>
                </c:pt>
                <c:pt idx="226">
                  <c:v>1595</c:v>
                </c:pt>
                <c:pt idx="227">
                  <c:v>1648</c:v>
                </c:pt>
                <c:pt idx="228">
                  <c:v>1703</c:v>
                </c:pt>
                <c:pt idx="229">
                  <c:v>1759</c:v>
                </c:pt>
                <c:pt idx="230">
                  <c:v>1817</c:v>
                </c:pt>
                <c:pt idx="231">
                  <c:v>1877</c:v>
                </c:pt>
                <c:pt idx="232">
                  <c:v>1939</c:v>
                </c:pt>
                <c:pt idx="233">
                  <c:v>2003</c:v>
                </c:pt>
                <c:pt idx="234">
                  <c:v>2069</c:v>
                </c:pt>
                <c:pt idx="235">
                  <c:v>2138</c:v>
                </c:pt>
                <c:pt idx="236">
                  <c:v>2208</c:v>
                </c:pt>
                <c:pt idx="237">
                  <c:v>2281</c:v>
                </c:pt>
                <c:pt idx="238">
                  <c:v>2357</c:v>
                </c:pt>
                <c:pt idx="239">
                  <c:v>2434</c:v>
                </c:pt>
                <c:pt idx="240">
                  <c:v>2515</c:v>
                </c:pt>
                <c:pt idx="241">
                  <c:v>2598</c:v>
                </c:pt>
                <c:pt idx="242">
                  <c:v>2684</c:v>
                </c:pt>
                <c:pt idx="243">
                  <c:v>2773</c:v>
                </c:pt>
                <c:pt idx="244">
                  <c:v>2864</c:v>
                </c:pt>
                <c:pt idx="245">
                  <c:v>2959</c:v>
                </c:pt>
                <c:pt idx="246">
                  <c:v>3056</c:v>
                </c:pt>
                <c:pt idx="247">
                  <c:v>3157</c:v>
                </c:pt>
                <c:pt idx="248">
                  <c:v>3262</c:v>
                </c:pt>
                <c:pt idx="249">
                  <c:v>3370</c:v>
                </c:pt>
                <c:pt idx="250">
                  <c:v>3481</c:v>
                </c:pt>
                <c:pt idx="251">
                  <c:v>3596</c:v>
                </c:pt>
                <c:pt idx="252">
                  <c:v>3715</c:v>
                </c:pt>
                <c:pt idx="253">
                  <c:v>3837</c:v>
                </c:pt>
                <c:pt idx="254">
                  <c:v>3964</c:v>
                </c:pt>
                <c:pt idx="255">
                  <c:v>4095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091456"/>
        <c:axId val="149613952"/>
      </c:lineChart>
      <c:valAx>
        <c:axId val="149613952"/>
        <c:scaling>
          <c:logBase val="10"/>
          <c:orientation val="minMax"/>
          <c:max val="100000"/>
          <c:min val="0.1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 b="0">
                <a:solidFill>
                  <a:srgbClr val="000000"/>
                </a:solidFill>
                <a:cs typeface="Arial"/>
              </a:defRPr>
            </a:pPr>
            <a:endParaRPr lang="de-DE"/>
          </a:p>
        </c:txPr>
        <c:crossAx val="153091456"/>
        <c:crossesAt val="1"/>
        <c:crossBetween val="between"/>
      </c:valAx>
      <c:catAx>
        <c:axId val="15309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 b="0">
                <a:solidFill>
                  <a:srgbClr val="000000"/>
                </a:solidFill>
                <a:cs typeface="Arial"/>
              </a:defRPr>
            </a:pPr>
            <a:endParaRPr lang="de-DE"/>
          </a:p>
        </c:txPr>
        <c:crossAx val="149613952"/>
        <c:crossesAt val="0.1"/>
        <c:auto val="1"/>
        <c:lblAlgn val="ctr"/>
        <c:lblOffset val="100"/>
        <c:noMultiLvlLbl val="0"/>
      </c:catAx>
      <c:spPr>
        <a:solidFill>
          <a:srgbClr val="C0C0C0"/>
        </a:solidFill>
        <a:ln w="12600">
          <a:solidFill>
            <a:srgbClr val="808080"/>
          </a:solidFill>
          <a:prstDash val="solid"/>
        </a:ln>
      </c:spPr>
    </c:plotArea>
    <c:legend>
      <c:legendPos val="r"/>
      <c:layout/>
      <c:overlay val="0"/>
      <c:spPr>
        <a:solidFill>
          <a:srgbClr val="D9D9D9"/>
        </a:solidFill>
      </c:spPr>
      <c:txPr>
        <a:bodyPr/>
        <a:lstStyle/>
        <a:p>
          <a:pPr>
            <a:defRPr sz="1000" b="0"/>
          </a:pPr>
          <a:endParaRPr lang="de-DE"/>
        </a:p>
      </c:txPr>
    </c:legend>
    <c:plotVisOnly val="1"/>
    <c:dispBlanksAs val="gap"/>
    <c:showDLblsOverMax val="0"/>
  </c:chart>
  <c:spPr>
    <a:ln>
      <a:solidFill>
        <a:srgbClr val="000000"/>
      </a:solidFill>
      <a:prstDash val="solid"/>
    </a:ln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c:style val="2"/>
  <c:chart>
    <c:title>
      <c:tx>
        <c:rich>
          <a:bodyPr/>
          <a:lstStyle/>
          <a:p>
            <a:pPr>
              <a:defRPr sz="1300" b="0"/>
            </a:pPr>
            <a:r>
              <a:rPr lang="de-DE"/>
              <a:t>Lineare Skala / linear scale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600">
              <a:solidFill>
                <a:srgbClr val="000080"/>
              </a:solidFill>
            </a:ln>
          </c:spPr>
          <c:marker>
            <c:symbol val="none"/>
          </c:marker>
          <c:val>
            <c:numRef>
              <c:f>'PWM Table for LED Fading or Dim'!$B$3:$B$258</c:f>
              <c:numCache>
                <c:formatCode>General</c:formatCode>
                <c:ptCount val="256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13</c:v>
                </c:pt>
                <c:pt idx="52">
                  <c:v>13</c:v>
                </c:pt>
                <c:pt idx="53">
                  <c:v>13</c:v>
                </c:pt>
                <c:pt idx="54">
                  <c:v>14</c:v>
                </c:pt>
                <c:pt idx="55">
                  <c:v>14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16</c:v>
                </c:pt>
                <c:pt idx="60">
                  <c:v>16</c:v>
                </c:pt>
                <c:pt idx="61">
                  <c:v>17</c:v>
                </c:pt>
                <c:pt idx="62">
                  <c:v>17</c:v>
                </c:pt>
                <c:pt idx="63">
                  <c:v>18</c:v>
                </c:pt>
                <c:pt idx="64">
                  <c:v>18</c:v>
                </c:pt>
                <c:pt idx="65">
                  <c:v>19</c:v>
                </c:pt>
                <c:pt idx="66">
                  <c:v>19</c:v>
                </c:pt>
                <c:pt idx="67">
                  <c:v>20</c:v>
                </c:pt>
                <c:pt idx="68">
                  <c:v>21</c:v>
                </c:pt>
                <c:pt idx="69">
                  <c:v>21</c:v>
                </c:pt>
                <c:pt idx="70">
                  <c:v>22</c:v>
                </c:pt>
                <c:pt idx="71">
                  <c:v>22</c:v>
                </c:pt>
                <c:pt idx="72">
                  <c:v>23</c:v>
                </c:pt>
                <c:pt idx="73">
                  <c:v>24</c:v>
                </c:pt>
                <c:pt idx="74">
                  <c:v>24</c:v>
                </c:pt>
                <c:pt idx="75">
                  <c:v>25</c:v>
                </c:pt>
                <c:pt idx="76">
                  <c:v>26</c:v>
                </c:pt>
                <c:pt idx="77">
                  <c:v>27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31</c:v>
                </c:pt>
                <c:pt idx="84">
                  <c:v>32</c:v>
                </c:pt>
                <c:pt idx="85">
                  <c:v>33</c:v>
                </c:pt>
                <c:pt idx="86">
                  <c:v>34</c:v>
                </c:pt>
                <c:pt idx="87">
                  <c:v>35</c:v>
                </c:pt>
                <c:pt idx="88">
                  <c:v>36</c:v>
                </c:pt>
                <c:pt idx="89">
                  <c:v>37</c:v>
                </c:pt>
                <c:pt idx="90">
                  <c:v>38</c:v>
                </c:pt>
                <c:pt idx="91">
                  <c:v>39</c:v>
                </c:pt>
                <c:pt idx="92">
                  <c:v>41</c:v>
                </c:pt>
                <c:pt idx="93">
                  <c:v>42</c:v>
                </c:pt>
                <c:pt idx="94">
                  <c:v>43</c:v>
                </c:pt>
                <c:pt idx="95">
                  <c:v>44</c:v>
                </c:pt>
                <c:pt idx="96">
                  <c:v>45</c:v>
                </c:pt>
                <c:pt idx="97">
                  <c:v>47</c:v>
                </c:pt>
                <c:pt idx="98">
                  <c:v>48</c:v>
                </c:pt>
                <c:pt idx="99">
                  <c:v>49</c:v>
                </c:pt>
                <c:pt idx="100">
                  <c:v>51</c:v>
                </c:pt>
                <c:pt idx="101">
                  <c:v>52</c:v>
                </c:pt>
                <c:pt idx="102">
                  <c:v>54</c:v>
                </c:pt>
                <c:pt idx="103">
                  <c:v>55</c:v>
                </c:pt>
                <c:pt idx="104">
                  <c:v>57</c:v>
                </c:pt>
                <c:pt idx="105">
                  <c:v>59</c:v>
                </c:pt>
                <c:pt idx="106">
                  <c:v>60</c:v>
                </c:pt>
                <c:pt idx="107">
                  <c:v>62</c:v>
                </c:pt>
                <c:pt idx="108">
                  <c:v>64</c:v>
                </c:pt>
                <c:pt idx="109">
                  <c:v>66</c:v>
                </c:pt>
                <c:pt idx="110">
                  <c:v>68</c:v>
                </c:pt>
                <c:pt idx="111">
                  <c:v>69</c:v>
                </c:pt>
                <c:pt idx="112">
                  <c:v>71</c:v>
                </c:pt>
                <c:pt idx="113">
                  <c:v>74</c:v>
                </c:pt>
                <c:pt idx="114">
                  <c:v>76</c:v>
                </c:pt>
                <c:pt idx="115">
                  <c:v>78</c:v>
                </c:pt>
                <c:pt idx="116">
                  <c:v>80</c:v>
                </c:pt>
                <c:pt idx="117">
                  <c:v>82</c:v>
                </c:pt>
                <c:pt idx="118">
                  <c:v>85</c:v>
                </c:pt>
                <c:pt idx="119">
                  <c:v>87</c:v>
                </c:pt>
                <c:pt idx="120">
                  <c:v>90</c:v>
                </c:pt>
                <c:pt idx="121">
                  <c:v>92</c:v>
                </c:pt>
                <c:pt idx="122">
                  <c:v>95</c:v>
                </c:pt>
                <c:pt idx="123">
                  <c:v>98</c:v>
                </c:pt>
                <c:pt idx="124">
                  <c:v>100</c:v>
                </c:pt>
                <c:pt idx="125">
                  <c:v>103</c:v>
                </c:pt>
                <c:pt idx="126">
                  <c:v>106</c:v>
                </c:pt>
                <c:pt idx="127">
                  <c:v>109</c:v>
                </c:pt>
                <c:pt idx="128">
                  <c:v>112</c:v>
                </c:pt>
                <c:pt idx="129">
                  <c:v>116</c:v>
                </c:pt>
                <c:pt idx="130">
                  <c:v>119</c:v>
                </c:pt>
                <c:pt idx="131">
                  <c:v>122</c:v>
                </c:pt>
                <c:pt idx="132">
                  <c:v>126</c:v>
                </c:pt>
                <c:pt idx="133">
                  <c:v>130</c:v>
                </c:pt>
                <c:pt idx="134">
                  <c:v>133</c:v>
                </c:pt>
                <c:pt idx="135">
                  <c:v>137</c:v>
                </c:pt>
                <c:pt idx="136">
                  <c:v>141</c:v>
                </c:pt>
                <c:pt idx="137">
                  <c:v>145</c:v>
                </c:pt>
                <c:pt idx="138">
                  <c:v>149</c:v>
                </c:pt>
                <c:pt idx="139">
                  <c:v>153</c:v>
                </c:pt>
                <c:pt idx="140">
                  <c:v>158</c:v>
                </c:pt>
                <c:pt idx="141">
                  <c:v>162</c:v>
                </c:pt>
                <c:pt idx="142">
                  <c:v>167</c:v>
                </c:pt>
                <c:pt idx="143">
                  <c:v>172</c:v>
                </c:pt>
                <c:pt idx="144">
                  <c:v>177</c:v>
                </c:pt>
                <c:pt idx="145">
                  <c:v>182</c:v>
                </c:pt>
                <c:pt idx="146">
                  <c:v>187</c:v>
                </c:pt>
                <c:pt idx="147">
                  <c:v>193</c:v>
                </c:pt>
                <c:pt idx="148">
                  <c:v>198</c:v>
                </c:pt>
                <c:pt idx="149">
                  <c:v>204</c:v>
                </c:pt>
                <c:pt idx="150">
                  <c:v>210</c:v>
                </c:pt>
                <c:pt idx="151">
                  <c:v>216</c:v>
                </c:pt>
                <c:pt idx="152">
                  <c:v>222</c:v>
                </c:pt>
                <c:pt idx="153">
                  <c:v>228</c:v>
                </c:pt>
                <c:pt idx="154">
                  <c:v>235</c:v>
                </c:pt>
                <c:pt idx="155">
                  <c:v>241</c:v>
                </c:pt>
                <c:pt idx="156">
                  <c:v>248</c:v>
                </c:pt>
                <c:pt idx="157">
                  <c:v>255</c:v>
                </c:pt>
                <c:pt idx="158">
                  <c:v>263</c:v>
                </c:pt>
                <c:pt idx="159">
                  <c:v>270</c:v>
                </c:pt>
                <c:pt idx="160">
                  <c:v>278</c:v>
                </c:pt>
                <c:pt idx="161">
                  <c:v>286</c:v>
                </c:pt>
                <c:pt idx="162">
                  <c:v>294</c:v>
                </c:pt>
                <c:pt idx="163">
                  <c:v>303</c:v>
                </c:pt>
                <c:pt idx="164">
                  <c:v>311</c:v>
                </c:pt>
                <c:pt idx="165">
                  <c:v>320</c:v>
                </c:pt>
                <c:pt idx="166">
                  <c:v>330</c:v>
                </c:pt>
                <c:pt idx="167">
                  <c:v>339</c:v>
                </c:pt>
                <c:pt idx="168">
                  <c:v>349</c:v>
                </c:pt>
                <c:pt idx="169">
                  <c:v>359</c:v>
                </c:pt>
                <c:pt idx="170">
                  <c:v>369</c:v>
                </c:pt>
                <c:pt idx="171">
                  <c:v>380</c:v>
                </c:pt>
                <c:pt idx="172">
                  <c:v>391</c:v>
                </c:pt>
                <c:pt idx="173">
                  <c:v>402</c:v>
                </c:pt>
                <c:pt idx="174">
                  <c:v>413</c:v>
                </c:pt>
                <c:pt idx="175">
                  <c:v>425</c:v>
                </c:pt>
                <c:pt idx="176">
                  <c:v>437</c:v>
                </c:pt>
                <c:pt idx="177">
                  <c:v>450</c:v>
                </c:pt>
                <c:pt idx="178">
                  <c:v>463</c:v>
                </c:pt>
                <c:pt idx="179">
                  <c:v>476</c:v>
                </c:pt>
                <c:pt idx="180">
                  <c:v>490</c:v>
                </c:pt>
                <c:pt idx="181">
                  <c:v>504</c:v>
                </c:pt>
                <c:pt idx="182">
                  <c:v>518</c:v>
                </c:pt>
                <c:pt idx="183">
                  <c:v>533</c:v>
                </c:pt>
                <c:pt idx="184">
                  <c:v>549</c:v>
                </c:pt>
                <c:pt idx="185">
                  <c:v>564</c:v>
                </c:pt>
                <c:pt idx="186">
                  <c:v>581</c:v>
                </c:pt>
                <c:pt idx="187">
                  <c:v>597</c:v>
                </c:pt>
                <c:pt idx="188">
                  <c:v>614</c:v>
                </c:pt>
                <c:pt idx="189">
                  <c:v>632</c:v>
                </c:pt>
                <c:pt idx="190">
                  <c:v>650</c:v>
                </c:pt>
                <c:pt idx="191">
                  <c:v>669</c:v>
                </c:pt>
                <c:pt idx="192">
                  <c:v>688</c:v>
                </c:pt>
                <c:pt idx="193">
                  <c:v>708</c:v>
                </c:pt>
                <c:pt idx="194">
                  <c:v>728</c:v>
                </c:pt>
                <c:pt idx="195">
                  <c:v>749</c:v>
                </c:pt>
                <c:pt idx="196">
                  <c:v>771</c:v>
                </c:pt>
                <c:pt idx="197">
                  <c:v>793</c:v>
                </c:pt>
                <c:pt idx="198">
                  <c:v>816</c:v>
                </c:pt>
                <c:pt idx="199">
                  <c:v>839</c:v>
                </c:pt>
                <c:pt idx="200">
                  <c:v>863</c:v>
                </c:pt>
                <c:pt idx="201">
                  <c:v>888</c:v>
                </c:pt>
                <c:pt idx="202">
                  <c:v>913</c:v>
                </c:pt>
                <c:pt idx="203">
                  <c:v>940</c:v>
                </c:pt>
                <c:pt idx="204">
                  <c:v>967</c:v>
                </c:pt>
                <c:pt idx="205">
                  <c:v>994</c:v>
                </c:pt>
                <c:pt idx="206">
                  <c:v>1023</c:v>
                </c:pt>
                <c:pt idx="207">
                  <c:v>1052</c:v>
                </c:pt>
                <c:pt idx="208">
                  <c:v>1082</c:v>
                </c:pt>
                <c:pt idx="209">
                  <c:v>1114</c:v>
                </c:pt>
                <c:pt idx="210">
                  <c:v>1146</c:v>
                </c:pt>
                <c:pt idx="211">
                  <c:v>1178</c:v>
                </c:pt>
                <c:pt idx="212">
                  <c:v>1212</c:v>
                </c:pt>
                <c:pt idx="213">
                  <c:v>1247</c:v>
                </c:pt>
                <c:pt idx="214">
                  <c:v>1283</c:v>
                </c:pt>
                <c:pt idx="215">
                  <c:v>1320</c:v>
                </c:pt>
                <c:pt idx="216">
                  <c:v>1358</c:v>
                </c:pt>
                <c:pt idx="217">
                  <c:v>1397</c:v>
                </c:pt>
                <c:pt idx="218">
                  <c:v>1437</c:v>
                </c:pt>
                <c:pt idx="219">
                  <c:v>1478</c:v>
                </c:pt>
                <c:pt idx="220">
                  <c:v>1520</c:v>
                </c:pt>
                <c:pt idx="221">
                  <c:v>1564</c:v>
                </c:pt>
                <c:pt idx="222">
                  <c:v>1609</c:v>
                </c:pt>
                <c:pt idx="223">
                  <c:v>1655</c:v>
                </c:pt>
                <c:pt idx="224">
                  <c:v>1703</c:v>
                </c:pt>
                <c:pt idx="225">
                  <c:v>1752</c:v>
                </c:pt>
                <c:pt idx="226">
                  <c:v>1802</c:v>
                </c:pt>
                <c:pt idx="227">
                  <c:v>1854</c:v>
                </c:pt>
                <c:pt idx="228">
                  <c:v>1907</c:v>
                </c:pt>
                <c:pt idx="229">
                  <c:v>1962</c:v>
                </c:pt>
                <c:pt idx="230">
                  <c:v>2018</c:v>
                </c:pt>
                <c:pt idx="231">
                  <c:v>2076</c:v>
                </c:pt>
                <c:pt idx="232">
                  <c:v>2135</c:v>
                </c:pt>
                <c:pt idx="233">
                  <c:v>2197</c:v>
                </c:pt>
                <c:pt idx="234">
                  <c:v>2260</c:v>
                </c:pt>
                <c:pt idx="235">
                  <c:v>2325</c:v>
                </c:pt>
                <c:pt idx="236">
                  <c:v>2391</c:v>
                </c:pt>
                <c:pt idx="237">
                  <c:v>2460</c:v>
                </c:pt>
                <c:pt idx="238">
                  <c:v>2531</c:v>
                </c:pt>
                <c:pt idx="239">
                  <c:v>2603</c:v>
                </c:pt>
                <c:pt idx="240">
                  <c:v>2678</c:v>
                </c:pt>
                <c:pt idx="241">
                  <c:v>2755</c:v>
                </c:pt>
                <c:pt idx="242">
                  <c:v>2834</c:v>
                </c:pt>
                <c:pt idx="243">
                  <c:v>2916</c:v>
                </c:pt>
                <c:pt idx="244">
                  <c:v>2999</c:v>
                </c:pt>
                <c:pt idx="245">
                  <c:v>3085</c:v>
                </c:pt>
                <c:pt idx="246">
                  <c:v>3174</c:v>
                </c:pt>
                <c:pt idx="247">
                  <c:v>3265</c:v>
                </c:pt>
                <c:pt idx="248">
                  <c:v>3359</c:v>
                </c:pt>
                <c:pt idx="249">
                  <c:v>3455</c:v>
                </c:pt>
                <c:pt idx="250">
                  <c:v>3555</c:v>
                </c:pt>
                <c:pt idx="251">
                  <c:v>3657</c:v>
                </c:pt>
                <c:pt idx="252">
                  <c:v>3762</c:v>
                </c:pt>
                <c:pt idx="253">
                  <c:v>3870</c:v>
                </c:pt>
                <c:pt idx="254">
                  <c:v>3981</c:v>
                </c:pt>
                <c:pt idx="255">
                  <c:v>4095</c:v>
                </c:pt>
              </c:numCache>
            </c:numRef>
          </c:val>
          <c:smooth val="0"/>
        </c:ser>
        <c:ser>
          <c:idx val="1"/>
          <c:order val="1"/>
          <c:spPr>
            <a:ln w="28800">
              <a:solidFill>
                <a:srgbClr val="FF420E"/>
              </a:solidFill>
            </a:ln>
          </c:spPr>
          <c:marker>
            <c:symbol val="none"/>
          </c:marker>
          <c:val>
            <c:numRef>
              <c:f>'PWM Table for LED Fading or Dim'!$C$3:$C$258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12</c:v>
                </c:pt>
                <c:pt idx="76">
                  <c:v>12</c:v>
                </c:pt>
                <c:pt idx="77">
                  <c:v>13</c:v>
                </c:pt>
                <c:pt idx="78">
                  <c:v>13</c:v>
                </c:pt>
                <c:pt idx="79">
                  <c:v>13</c:v>
                </c:pt>
                <c:pt idx="80">
                  <c:v>14</c:v>
                </c:pt>
                <c:pt idx="81">
                  <c:v>14</c:v>
                </c:pt>
                <c:pt idx="82">
                  <c:v>15</c:v>
                </c:pt>
                <c:pt idx="83">
                  <c:v>15</c:v>
                </c:pt>
                <c:pt idx="84">
                  <c:v>16</c:v>
                </c:pt>
                <c:pt idx="85">
                  <c:v>16</c:v>
                </c:pt>
                <c:pt idx="86">
                  <c:v>17</c:v>
                </c:pt>
                <c:pt idx="87">
                  <c:v>17</c:v>
                </c:pt>
                <c:pt idx="88">
                  <c:v>18</c:v>
                </c:pt>
                <c:pt idx="89">
                  <c:v>19</c:v>
                </c:pt>
                <c:pt idx="90">
                  <c:v>19</c:v>
                </c:pt>
                <c:pt idx="91">
                  <c:v>20</c:v>
                </c:pt>
                <c:pt idx="92">
                  <c:v>21</c:v>
                </c:pt>
                <c:pt idx="93">
                  <c:v>21</c:v>
                </c:pt>
                <c:pt idx="94">
                  <c:v>22</c:v>
                </c:pt>
                <c:pt idx="95">
                  <c:v>23</c:v>
                </c:pt>
                <c:pt idx="96">
                  <c:v>23</c:v>
                </c:pt>
                <c:pt idx="97">
                  <c:v>24</c:v>
                </c:pt>
                <c:pt idx="98">
                  <c:v>25</c:v>
                </c:pt>
                <c:pt idx="99">
                  <c:v>26</c:v>
                </c:pt>
                <c:pt idx="100">
                  <c:v>27</c:v>
                </c:pt>
                <c:pt idx="101">
                  <c:v>27</c:v>
                </c:pt>
                <c:pt idx="102">
                  <c:v>28</c:v>
                </c:pt>
                <c:pt idx="103">
                  <c:v>29</c:v>
                </c:pt>
                <c:pt idx="104">
                  <c:v>30</c:v>
                </c:pt>
                <c:pt idx="105">
                  <c:v>31</c:v>
                </c:pt>
                <c:pt idx="106">
                  <c:v>32</c:v>
                </c:pt>
                <c:pt idx="107">
                  <c:v>33</c:v>
                </c:pt>
                <c:pt idx="108">
                  <c:v>35</c:v>
                </c:pt>
                <c:pt idx="109">
                  <c:v>36</c:v>
                </c:pt>
                <c:pt idx="110">
                  <c:v>37</c:v>
                </c:pt>
                <c:pt idx="111">
                  <c:v>38</c:v>
                </c:pt>
                <c:pt idx="112">
                  <c:v>39</c:v>
                </c:pt>
                <c:pt idx="113">
                  <c:v>41</c:v>
                </c:pt>
                <c:pt idx="114">
                  <c:v>42</c:v>
                </c:pt>
                <c:pt idx="115">
                  <c:v>43</c:v>
                </c:pt>
                <c:pt idx="116">
                  <c:v>45</c:v>
                </c:pt>
                <c:pt idx="117">
                  <c:v>46</c:v>
                </c:pt>
                <c:pt idx="118">
                  <c:v>48</c:v>
                </c:pt>
                <c:pt idx="119">
                  <c:v>49</c:v>
                </c:pt>
                <c:pt idx="120">
                  <c:v>51</c:v>
                </c:pt>
                <c:pt idx="121">
                  <c:v>53</c:v>
                </c:pt>
                <c:pt idx="122">
                  <c:v>54</c:v>
                </c:pt>
                <c:pt idx="123">
                  <c:v>56</c:v>
                </c:pt>
                <c:pt idx="124">
                  <c:v>58</c:v>
                </c:pt>
                <c:pt idx="125">
                  <c:v>60</c:v>
                </c:pt>
                <c:pt idx="126">
                  <c:v>62</c:v>
                </c:pt>
                <c:pt idx="127">
                  <c:v>64</c:v>
                </c:pt>
                <c:pt idx="128">
                  <c:v>66</c:v>
                </c:pt>
                <c:pt idx="129">
                  <c:v>68</c:v>
                </c:pt>
                <c:pt idx="130">
                  <c:v>71</c:v>
                </c:pt>
                <c:pt idx="131">
                  <c:v>73</c:v>
                </c:pt>
                <c:pt idx="132">
                  <c:v>75</c:v>
                </c:pt>
                <c:pt idx="133">
                  <c:v>78</c:v>
                </c:pt>
                <c:pt idx="134">
                  <c:v>80</c:v>
                </c:pt>
                <c:pt idx="135">
                  <c:v>83</c:v>
                </c:pt>
                <c:pt idx="136">
                  <c:v>86</c:v>
                </c:pt>
                <c:pt idx="137">
                  <c:v>89</c:v>
                </c:pt>
                <c:pt idx="138">
                  <c:v>91</c:v>
                </c:pt>
                <c:pt idx="139">
                  <c:v>95</c:v>
                </c:pt>
                <c:pt idx="140">
                  <c:v>98</c:v>
                </c:pt>
                <c:pt idx="141">
                  <c:v>101</c:v>
                </c:pt>
                <c:pt idx="142">
                  <c:v>104</c:v>
                </c:pt>
                <c:pt idx="143">
                  <c:v>108</c:v>
                </c:pt>
                <c:pt idx="144">
                  <c:v>111</c:v>
                </c:pt>
                <c:pt idx="145">
                  <c:v>115</c:v>
                </c:pt>
                <c:pt idx="146">
                  <c:v>119</c:v>
                </c:pt>
                <c:pt idx="147">
                  <c:v>123</c:v>
                </c:pt>
                <c:pt idx="148">
                  <c:v>127</c:v>
                </c:pt>
                <c:pt idx="149">
                  <c:v>131</c:v>
                </c:pt>
                <c:pt idx="150">
                  <c:v>135</c:v>
                </c:pt>
                <c:pt idx="151">
                  <c:v>140</c:v>
                </c:pt>
                <c:pt idx="152">
                  <c:v>144</c:v>
                </c:pt>
                <c:pt idx="153">
                  <c:v>149</c:v>
                </c:pt>
                <c:pt idx="154">
                  <c:v>154</c:v>
                </c:pt>
                <c:pt idx="155">
                  <c:v>159</c:v>
                </c:pt>
                <c:pt idx="156">
                  <c:v>164</c:v>
                </c:pt>
                <c:pt idx="157">
                  <c:v>170</c:v>
                </c:pt>
                <c:pt idx="158">
                  <c:v>175</c:v>
                </c:pt>
                <c:pt idx="159">
                  <c:v>181</c:v>
                </c:pt>
                <c:pt idx="160">
                  <c:v>187</c:v>
                </c:pt>
                <c:pt idx="161">
                  <c:v>193</c:v>
                </c:pt>
                <c:pt idx="162">
                  <c:v>200</c:v>
                </c:pt>
                <c:pt idx="163">
                  <c:v>206</c:v>
                </c:pt>
                <c:pt idx="164">
                  <c:v>213</c:v>
                </c:pt>
                <c:pt idx="165">
                  <c:v>220</c:v>
                </c:pt>
                <c:pt idx="166">
                  <c:v>227</c:v>
                </c:pt>
                <c:pt idx="167">
                  <c:v>235</c:v>
                </c:pt>
                <c:pt idx="168">
                  <c:v>242</c:v>
                </c:pt>
                <c:pt idx="169">
                  <c:v>250</c:v>
                </c:pt>
                <c:pt idx="170">
                  <c:v>259</c:v>
                </c:pt>
                <c:pt idx="171">
                  <c:v>267</c:v>
                </c:pt>
                <c:pt idx="172">
                  <c:v>276</c:v>
                </c:pt>
                <c:pt idx="173">
                  <c:v>285</c:v>
                </c:pt>
                <c:pt idx="174">
                  <c:v>295</c:v>
                </c:pt>
                <c:pt idx="175">
                  <c:v>304</c:v>
                </c:pt>
                <c:pt idx="176">
                  <c:v>314</c:v>
                </c:pt>
                <c:pt idx="177">
                  <c:v>325</c:v>
                </c:pt>
                <c:pt idx="178">
                  <c:v>336</c:v>
                </c:pt>
                <c:pt idx="179">
                  <c:v>347</c:v>
                </c:pt>
                <c:pt idx="180">
                  <c:v>358</c:v>
                </c:pt>
                <c:pt idx="181">
                  <c:v>370</c:v>
                </c:pt>
                <c:pt idx="182">
                  <c:v>382</c:v>
                </c:pt>
                <c:pt idx="183">
                  <c:v>395</c:v>
                </c:pt>
                <c:pt idx="184">
                  <c:v>408</c:v>
                </c:pt>
                <c:pt idx="185">
                  <c:v>421</c:v>
                </c:pt>
                <c:pt idx="186">
                  <c:v>435</c:v>
                </c:pt>
                <c:pt idx="187">
                  <c:v>450</c:v>
                </c:pt>
                <c:pt idx="188">
                  <c:v>464</c:v>
                </c:pt>
                <c:pt idx="189">
                  <c:v>480</c:v>
                </c:pt>
                <c:pt idx="190">
                  <c:v>496</c:v>
                </c:pt>
                <c:pt idx="191">
                  <c:v>512</c:v>
                </c:pt>
                <c:pt idx="192">
                  <c:v>529</c:v>
                </c:pt>
                <c:pt idx="193">
                  <c:v>546</c:v>
                </c:pt>
                <c:pt idx="194">
                  <c:v>564</c:v>
                </c:pt>
                <c:pt idx="195">
                  <c:v>583</c:v>
                </c:pt>
                <c:pt idx="196">
                  <c:v>602</c:v>
                </c:pt>
                <c:pt idx="197">
                  <c:v>622</c:v>
                </c:pt>
                <c:pt idx="198">
                  <c:v>643</c:v>
                </c:pt>
                <c:pt idx="199">
                  <c:v>664</c:v>
                </c:pt>
                <c:pt idx="200">
                  <c:v>686</c:v>
                </c:pt>
                <c:pt idx="201">
                  <c:v>708</c:v>
                </c:pt>
                <c:pt idx="202">
                  <c:v>732</c:v>
                </c:pt>
                <c:pt idx="203">
                  <c:v>756</c:v>
                </c:pt>
                <c:pt idx="204">
                  <c:v>781</c:v>
                </c:pt>
                <c:pt idx="205">
                  <c:v>807</c:v>
                </c:pt>
                <c:pt idx="206">
                  <c:v>833</c:v>
                </c:pt>
                <c:pt idx="207">
                  <c:v>861</c:v>
                </c:pt>
                <c:pt idx="208">
                  <c:v>889</c:v>
                </c:pt>
                <c:pt idx="209">
                  <c:v>919</c:v>
                </c:pt>
                <c:pt idx="210">
                  <c:v>949</c:v>
                </c:pt>
                <c:pt idx="211">
                  <c:v>980</c:v>
                </c:pt>
                <c:pt idx="212">
                  <c:v>1013</c:v>
                </c:pt>
                <c:pt idx="213">
                  <c:v>1046</c:v>
                </c:pt>
                <c:pt idx="214">
                  <c:v>1081</c:v>
                </c:pt>
                <c:pt idx="215">
                  <c:v>1116</c:v>
                </c:pt>
                <c:pt idx="216">
                  <c:v>1153</c:v>
                </c:pt>
                <c:pt idx="217">
                  <c:v>1191</c:v>
                </c:pt>
                <c:pt idx="218">
                  <c:v>1231</c:v>
                </c:pt>
                <c:pt idx="219">
                  <c:v>1271</c:v>
                </c:pt>
                <c:pt idx="220">
                  <c:v>1313</c:v>
                </c:pt>
                <c:pt idx="221">
                  <c:v>1357</c:v>
                </c:pt>
                <c:pt idx="222">
                  <c:v>1402</c:v>
                </c:pt>
                <c:pt idx="223">
                  <c:v>1448</c:v>
                </c:pt>
                <c:pt idx="224">
                  <c:v>1496</c:v>
                </c:pt>
                <c:pt idx="225">
                  <c:v>1545</c:v>
                </c:pt>
                <c:pt idx="226">
                  <c:v>1596</c:v>
                </c:pt>
                <c:pt idx="227">
                  <c:v>1649</c:v>
                </c:pt>
                <c:pt idx="228">
                  <c:v>1703</c:v>
                </c:pt>
                <c:pt idx="229">
                  <c:v>1759</c:v>
                </c:pt>
                <c:pt idx="230">
                  <c:v>1818</c:v>
                </c:pt>
                <c:pt idx="231">
                  <c:v>1878</c:v>
                </c:pt>
                <c:pt idx="232">
                  <c:v>1940</c:v>
                </c:pt>
                <c:pt idx="233">
                  <c:v>2004</c:v>
                </c:pt>
                <c:pt idx="234">
                  <c:v>2070</c:v>
                </c:pt>
                <c:pt idx="235">
                  <c:v>2138</c:v>
                </c:pt>
                <c:pt idx="236">
                  <c:v>2209</c:v>
                </c:pt>
                <c:pt idx="237">
                  <c:v>2282</c:v>
                </c:pt>
                <c:pt idx="238">
                  <c:v>2357</c:v>
                </c:pt>
                <c:pt idx="239">
                  <c:v>2435</c:v>
                </c:pt>
                <c:pt idx="240">
                  <c:v>2515</c:v>
                </c:pt>
                <c:pt idx="241">
                  <c:v>2598</c:v>
                </c:pt>
                <c:pt idx="242">
                  <c:v>2684</c:v>
                </c:pt>
                <c:pt idx="243">
                  <c:v>2773</c:v>
                </c:pt>
                <c:pt idx="244">
                  <c:v>2864</c:v>
                </c:pt>
                <c:pt idx="245">
                  <c:v>2959</c:v>
                </c:pt>
                <c:pt idx="246">
                  <c:v>3057</c:v>
                </c:pt>
                <c:pt idx="247">
                  <c:v>3158</c:v>
                </c:pt>
                <c:pt idx="248">
                  <c:v>3262</c:v>
                </c:pt>
                <c:pt idx="249">
                  <c:v>3370</c:v>
                </c:pt>
                <c:pt idx="250">
                  <c:v>3481</c:v>
                </c:pt>
                <c:pt idx="251">
                  <c:v>3596</c:v>
                </c:pt>
                <c:pt idx="252">
                  <c:v>3715</c:v>
                </c:pt>
                <c:pt idx="253">
                  <c:v>3837</c:v>
                </c:pt>
                <c:pt idx="254">
                  <c:v>3964</c:v>
                </c:pt>
                <c:pt idx="255">
                  <c:v>4095</c:v>
                </c:pt>
              </c:numCache>
            </c:numRef>
          </c:val>
          <c:smooth val="0"/>
        </c:ser>
        <c:ser>
          <c:idx val="2"/>
          <c:order val="2"/>
          <c:spPr>
            <a:ln w="28800">
              <a:solidFill>
                <a:srgbClr val="FFD320"/>
              </a:solidFill>
            </a:ln>
          </c:spPr>
          <c:marker>
            <c:symbol val="none"/>
          </c:marker>
          <c:val>
            <c:numRef>
              <c:f>'PWM Table for LED Fading or Dim'!$D$3:$D$258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13</c:v>
                </c:pt>
                <c:pt idx="81">
                  <c:v>13</c:v>
                </c:pt>
                <c:pt idx="82">
                  <c:v>14</c:v>
                </c:pt>
                <c:pt idx="83">
                  <c:v>14</c:v>
                </c:pt>
                <c:pt idx="84">
                  <c:v>15</c:v>
                </c:pt>
                <c:pt idx="85">
                  <c:v>15</c:v>
                </c:pt>
                <c:pt idx="86">
                  <c:v>16</c:v>
                </c:pt>
                <c:pt idx="87">
                  <c:v>16</c:v>
                </c:pt>
                <c:pt idx="88">
                  <c:v>17</c:v>
                </c:pt>
                <c:pt idx="89">
                  <c:v>18</c:v>
                </c:pt>
                <c:pt idx="90">
                  <c:v>18</c:v>
                </c:pt>
                <c:pt idx="91">
                  <c:v>19</c:v>
                </c:pt>
                <c:pt idx="92">
                  <c:v>20</c:v>
                </c:pt>
                <c:pt idx="93">
                  <c:v>20</c:v>
                </c:pt>
                <c:pt idx="94">
                  <c:v>21</c:v>
                </c:pt>
                <c:pt idx="95">
                  <c:v>22</c:v>
                </c:pt>
                <c:pt idx="96">
                  <c:v>22</c:v>
                </c:pt>
                <c:pt idx="97">
                  <c:v>23</c:v>
                </c:pt>
                <c:pt idx="98">
                  <c:v>24</c:v>
                </c:pt>
                <c:pt idx="99">
                  <c:v>25</c:v>
                </c:pt>
                <c:pt idx="100">
                  <c:v>26</c:v>
                </c:pt>
                <c:pt idx="101">
                  <c:v>26</c:v>
                </c:pt>
                <c:pt idx="102">
                  <c:v>27</c:v>
                </c:pt>
                <c:pt idx="103">
                  <c:v>28</c:v>
                </c:pt>
                <c:pt idx="104">
                  <c:v>29</c:v>
                </c:pt>
                <c:pt idx="105">
                  <c:v>30</c:v>
                </c:pt>
                <c:pt idx="106">
                  <c:v>31</c:v>
                </c:pt>
                <c:pt idx="107">
                  <c:v>32</c:v>
                </c:pt>
                <c:pt idx="108">
                  <c:v>34</c:v>
                </c:pt>
                <c:pt idx="109">
                  <c:v>35</c:v>
                </c:pt>
                <c:pt idx="110">
                  <c:v>36</c:v>
                </c:pt>
                <c:pt idx="111">
                  <c:v>37</c:v>
                </c:pt>
                <c:pt idx="112">
                  <c:v>38</c:v>
                </c:pt>
                <c:pt idx="113">
                  <c:v>40</c:v>
                </c:pt>
                <c:pt idx="114">
                  <c:v>41</c:v>
                </c:pt>
                <c:pt idx="115">
                  <c:v>42</c:v>
                </c:pt>
                <c:pt idx="116">
                  <c:v>44</c:v>
                </c:pt>
                <c:pt idx="117">
                  <c:v>45</c:v>
                </c:pt>
                <c:pt idx="118">
                  <c:v>47</c:v>
                </c:pt>
                <c:pt idx="119">
                  <c:v>48</c:v>
                </c:pt>
                <c:pt idx="120">
                  <c:v>50</c:v>
                </c:pt>
                <c:pt idx="121">
                  <c:v>52</c:v>
                </c:pt>
                <c:pt idx="122">
                  <c:v>53</c:v>
                </c:pt>
                <c:pt idx="123">
                  <c:v>55</c:v>
                </c:pt>
                <c:pt idx="124">
                  <c:v>57</c:v>
                </c:pt>
                <c:pt idx="125">
                  <c:v>59</c:v>
                </c:pt>
                <c:pt idx="126">
                  <c:v>61</c:v>
                </c:pt>
                <c:pt idx="127">
                  <c:v>63</c:v>
                </c:pt>
                <c:pt idx="128">
                  <c:v>65</c:v>
                </c:pt>
                <c:pt idx="129">
                  <c:v>67</c:v>
                </c:pt>
                <c:pt idx="130">
                  <c:v>70</c:v>
                </c:pt>
                <c:pt idx="131">
                  <c:v>72</c:v>
                </c:pt>
                <c:pt idx="132">
                  <c:v>74</c:v>
                </c:pt>
                <c:pt idx="133">
                  <c:v>77</c:v>
                </c:pt>
                <c:pt idx="134">
                  <c:v>79</c:v>
                </c:pt>
                <c:pt idx="135">
                  <c:v>82</c:v>
                </c:pt>
                <c:pt idx="136">
                  <c:v>85</c:v>
                </c:pt>
                <c:pt idx="137">
                  <c:v>88</c:v>
                </c:pt>
                <c:pt idx="138">
                  <c:v>90</c:v>
                </c:pt>
                <c:pt idx="139">
                  <c:v>94</c:v>
                </c:pt>
                <c:pt idx="140">
                  <c:v>97</c:v>
                </c:pt>
                <c:pt idx="141">
                  <c:v>100</c:v>
                </c:pt>
                <c:pt idx="142">
                  <c:v>103</c:v>
                </c:pt>
                <c:pt idx="143">
                  <c:v>107</c:v>
                </c:pt>
                <c:pt idx="144">
                  <c:v>110</c:v>
                </c:pt>
                <c:pt idx="145">
                  <c:v>114</c:v>
                </c:pt>
                <c:pt idx="146">
                  <c:v>118</c:v>
                </c:pt>
                <c:pt idx="147">
                  <c:v>122</c:v>
                </c:pt>
                <c:pt idx="148">
                  <c:v>126</c:v>
                </c:pt>
                <c:pt idx="149">
                  <c:v>130</c:v>
                </c:pt>
                <c:pt idx="150">
                  <c:v>134</c:v>
                </c:pt>
                <c:pt idx="151">
                  <c:v>139</c:v>
                </c:pt>
                <c:pt idx="152">
                  <c:v>143</c:v>
                </c:pt>
                <c:pt idx="153">
                  <c:v>148</c:v>
                </c:pt>
                <c:pt idx="154">
                  <c:v>153</c:v>
                </c:pt>
                <c:pt idx="155">
                  <c:v>158</c:v>
                </c:pt>
                <c:pt idx="156">
                  <c:v>163</c:v>
                </c:pt>
                <c:pt idx="157">
                  <c:v>169</c:v>
                </c:pt>
                <c:pt idx="158">
                  <c:v>174</c:v>
                </c:pt>
                <c:pt idx="159">
                  <c:v>180</c:v>
                </c:pt>
                <c:pt idx="160">
                  <c:v>186</c:v>
                </c:pt>
                <c:pt idx="161">
                  <c:v>192</c:v>
                </c:pt>
                <c:pt idx="162">
                  <c:v>199</c:v>
                </c:pt>
                <c:pt idx="163">
                  <c:v>205</c:v>
                </c:pt>
                <c:pt idx="164">
                  <c:v>212</c:v>
                </c:pt>
                <c:pt idx="165">
                  <c:v>219</c:v>
                </c:pt>
                <c:pt idx="166">
                  <c:v>226</c:v>
                </c:pt>
                <c:pt idx="167">
                  <c:v>234</c:v>
                </c:pt>
                <c:pt idx="168">
                  <c:v>242</c:v>
                </c:pt>
                <c:pt idx="169">
                  <c:v>250</c:v>
                </c:pt>
                <c:pt idx="170">
                  <c:v>258</c:v>
                </c:pt>
                <c:pt idx="171">
                  <c:v>266</c:v>
                </c:pt>
                <c:pt idx="172">
                  <c:v>275</c:v>
                </c:pt>
                <c:pt idx="173">
                  <c:v>284</c:v>
                </c:pt>
                <c:pt idx="174">
                  <c:v>294</c:v>
                </c:pt>
                <c:pt idx="175">
                  <c:v>303</c:v>
                </c:pt>
                <c:pt idx="176">
                  <c:v>313</c:v>
                </c:pt>
                <c:pt idx="177">
                  <c:v>324</c:v>
                </c:pt>
                <c:pt idx="178">
                  <c:v>335</c:v>
                </c:pt>
                <c:pt idx="179">
                  <c:v>346</c:v>
                </c:pt>
                <c:pt idx="180">
                  <c:v>357</c:v>
                </c:pt>
                <c:pt idx="181">
                  <c:v>369</c:v>
                </c:pt>
                <c:pt idx="182">
                  <c:v>381</c:v>
                </c:pt>
                <c:pt idx="183">
                  <c:v>394</c:v>
                </c:pt>
                <c:pt idx="184">
                  <c:v>407</c:v>
                </c:pt>
                <c:pt idx="185">
                  <c:v>420</c:v>
                </c:pt>
                <c:pt idx="186">
                  <c:v>434</c:v>
                </c:pt>
                <c:pt idx="187">
                  <c:v>449</c:v>
                </c:pt>
                <c:pt idx="188">
                  <c:v>463</c:v>
                </c:pt>
                <c:pt idx="189">
                  <c:v>479</c:v>
                </c:pt>
                <c:pt idx="190">
                  <c:v>495</c:v>
                </c:pt>
                <c:pt idx="191">
                  <c:v>511</c:v>
                </c:pt>
                <c:pt idx="192">
                  <c:v>528</c:v>
                </c:pt>
                <c:pt idx="193">
                  <c:v>545</c:v>
                </c:pt>
                <c:pt idx="194">
                  <c:v>563</c:v>
                </c:pt>
                <c:pt idx="195">
                  <c:v>582</c:v>
                </c:pt>
                <c:pt idx="196">
                  <c:v>601</c:v>
                </c:pt>
                <c:pt idx="197">
                  <c:v>621</c:v>
                </c:pt>
                <c:pt idx="198">
                  <c:v>642</c:v>
                </c:pt>
                <c:pt idx="199">
                  <c:v>663</c:v>
                </c:pt>
                <c:pt idx="200">
                  <c:v>685</c:v>
                </c:pt>
                <c:pt idx="201">
                  <c:v>708</c:v>
                </c:pt>
                <c:pt idx="202">
                  <c:v>731</c:v>
                </c:pt>
                <c:pt idx="203">
                  <c:v>755</c:v>
                </c:pt>
                <c:pt idx="204">
                  <c:v>780</c:v>
                </c:pt>
                <c:pt idx="205">
                  <c:v>806</c:v>
                </c:pt>
                <c:pt idx="206">
                  <c:v>833</c:v>
                </c:pt>
                <c:pt idx="207">
                  <c:v>860</c:v>
                </c:pt>
                <c:pt idx="208">
                  <c:v>889</c:v>
                </c:pt>
                <c:pt idx="209">
                  <c:v>918</c:v>
                </c:pt>
                <c:pt idx="210">
                  <c:v>948</c:v>
                </c:pt>
                <c:pt idx="211">
                  <c:v>980</c:v>
                </c:pt>
                <c:pt idx="212">
                  <c:v>1012</c:v>
                </c:pt>
                <c:pt idx="213">
                  <c:v>1045</c:v>
                </c:pt>
                <c:pt idx="214">
                  <c:v>1080</c:v>
                </c:pt>
                <c:pt idx="215">
                  <c:v>1116</c:v>
                </c:pt>
                <c:pt idx="216">
                  <c:v>1153</c:v>
                </c:pt>
                <c:pt idx="217">
                  <c:v>1191</c:v>
                </c:pt>
                <c:pt idx="218">
                  <c:v>1230</c:v>
                </c:pt>
                <c:pt idx="219">
                  <c:v>1271</c:v>
                </c:pt>
                <c:pt idx="220">
                  <c:v>1313</c:v>
                </c:pt>
                <c:pt idx="221">
                  <c:v>1356</c:v>
                </c:pt>
                <c:pt idx="222">
                  <c:v>1401</c:v>
                </c:pt>
                <c:pt idx="223">
                  <c:v>1447</c:v>
                </c:pt>
                <c:pt idx="224">
                  <c:v>1495</c:v>
                </c:pt>
                <c:pt idx="225">
                  <c:v>1544</c:v>
                </c:pt>
                <c:pt idx="226">
                  <c:v>1595</c:v>
                </c:pt>
                <c:pt idx="227">
                  <c:v>1648</c:v>
                </c:pt>
                <c:pt idx="228">
                  <c:v>1703</c:v>
                </c:pt>
                <c:pt idx="229">
                  <c:v>1759</c:v>
                </c:pt>
                <c:pt idx="230">
                  <c:v>1817</c:v>
                </c:pt>
                <c:pt idx="231">
                  <c:v>1877</c:v>
                </c:pt>
                <c:pt idx="232">
                  <c:v>1939</c:v>
                </c:pt>
                <c:pt idx="233">
                  <c:v>2003</c:v>
                </c:pt>
                <c:pt idx="234">
                  <c:v>2069</c:v>
                </c:pt>
                <c:pt idx="235">
                  <c:v>2138</c:v>
                </c:pt>
                <c:pt idx="236">
                  <c:v>2208</c:v>
                </c:pt>
                <c:pt idx="237">
                  <c:v>2281</c:v>
                </c:pt>
                <c:pt idx="238">
                  <c:v>2357</c:v>
                </c:pt>
                <c:pt idx="239">
                  <c:v>2434</c:v>
                </c:pt>
                <c:pt idx="240">
                  <c:v>2515</c:v>
                </c:pt>
                <c:pt idx="241">
                  <c:v>2598</c:v>
                </c:pt>
                <c:pt idx="242">
                  <c:v>2684</c:v>
                </c:pt>
                <c:pt idx="243">
                  <c:v>2773</c:v>
                </c:pt>
                <c:pt idx="244">
                  <c:v>2864</c:v>
                </c:pt>
                <c:pt idx="245">
                  <c:v>2959</c:v>
                </c:pt>
                <c:pt idx="246">
                  <c:v>3056</c:v>
                </c:pt>
                <c:pt idx="247">
                  <c:v>3157</c:v>
                </c:pt>
                <c:pt idx="248">
                  <c:v>3262</c:v>
                </c:pt>
                <c:pt idx="249">
                  <c:v>3370</c:v>
                </c:pt>
                <c:pt idx="250">
                  <c:v>3481</c:v>
                </c:pt>
                <c:pt idx="251">
                  <c:v>3596</c:v>
                </c:pt>
                <c:pt idx="252">
                  <c:v>3715</c:v>
                </c:pt>
                <c:pt idx="253">
                  <c:v>3837</c:v>
                </c:pt>
                <c:pt idx="254">
                  <c:v>3964</c:v>
                </c:pt>
                <c:pt idx="255">
                  <c:v>4095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435456"/>
        <c:axId val="252433536"/>
      </c:lineChart>
      <c:valAx>
        <c:axId val="252433536"/>
        <c:scaling>
          <c:orientation val="minMax"/>
          <c:max val="255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 b="0">
                <a:solidFill>
                  <a:srgbClr val="000000"/>
                </a:solidFill>
                <a:cs typeface="Arial"/>
              </a:defRPr>
            </a:pPr>
            <a:endParaRPr lang="de-DE"/>
          </a:p>
        </c:txPr>
        <c:crossAx val="252435456"/>
        <c:crossesAt val="1"/>
        <c:crossBetween val="between"/>
      </c:valAx>
      <c:catAx>
        <c:axId val="25243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 b="0">
                <a:solidFill>
                  <a:srgbClr val="000000"/>
                </a:solidFill>
                <a:cs typeface="Arial"/>
              </a:defRPr>
            </a:pPr>
            <a:endParaRPr lang="de-DE"/>
          </a:p>
        </c:txPr>
        <c:crossAx val="252433536"/>
        <c:crossesAt val="0"/>
        <c:auto val="1"/>
        <c:lblAlgn val="ctr"/>
        <c:lblOffset val="100"/>
        <c:noMultiLvlLbl val="0"/>
      </c:catAx>
      <c:spPr>
        <a:solidFill>
          <a:srgbClr val="C0C0C0"/>
        </a:solidFill>
        <a:ln w="126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ln>
      <a:solidFill>
        <a:srgbClr val="000000"/>
      </a:solidFill>
      <a:prstDash val="solid"/>
    </a:ln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'PWM Table for LED Fading or Dim'!$B$2</c:f>
              <c:strCache>
                <c:ptCount val="1"/>
                <c:pt idx="0">
                  <c:v>PWM</c:v>
                </c:pt>
              </c:strCache>
            </c:strRef>
          </c:tx>
          <c:spPr>
            <a:ln w="12600">
              <a:solidFill>
                <a:srgbClr val="000080"/>
              </a:solidFill>
            </a:ln>
          </c:spPr>
          <c:marker>
            <c:symbol val="none"/>
          </c:marker>
          <c:val>
            <c:numRef>
              <c:f>'PWM Table for LED Fading or Dim'!$B$3:$B$258</c:f>
              <c:numCache>
                <c:formatCode>General</c:formatCode>
                <c:ptCount val="256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13</c:v>
                </c:pt>
                <c:pt idx="52">
                  <c:v>13</c:v>
                </c:pt>
                <c:pt idx="53">
                  <c:v>13</c:v>
                </c:pt>
                <c:pt idx="54">
                  <c:v>14</c:v>
                </c:pt>
                <c:pt idx="55">
                  <c:v>14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16</c:v>
                </c:pt>
                <c:pt idx="60">
                  <c:v>16</c:v>
                </c:pt>
                <c:pt idx="61">
                  <c:v>17</c:v>
                </c:pt>
                <c:pt idx="62">
                  <c:v>17</c:v>
                </c:pt>
                <c:pt idx="63">
                  <c:v>18</c:v>
                </c:pt>
                <c:pt idx="64">
                  <c:v>18</c:v>
                </c:pt>
                <c:pt idx="65">
                  <c:v>19</c:v>
                </c:pt>
                <c:pt idx="66">
                  <c:v>19</c:v>
                </c:pt>
                <c:pt idx="67">
                  <c:v>20</c:v>
                </c:pt>
                <c:pt idx="68">
                  <c:v>21</c:v>
                </c:pt>
                <c:pt idx="69">
                  <c:v>21</c:v>
                </c:pt>
                <c:pt idx="70">
                  <c:v>22</c:v>
                </c:pt>
                <c:pt idx="71">
                  <c:v>22</c:v>
                </c:pt>
                <c:pt idx="72">
                  <c:v>23</c:v>
                </c:pt>
                <c:pt idx="73">
                  <c:v>24</c:v>
                </c:pt>
                <c:pt idx="74">
                  <c:v>24</c:v>
                </c:pt>
                <c:pt idx="75">
                  <c:v>25</c:v>
                </c:pt>
                <c:pt idx="76">
                  <c:v>26</c:v>
                </c:pt>
                <c:pt idx="77">
                  <c:v>27</c:v>
                </c:pt>
                <c:pt idx="78">
                  <c:v>27</c:v>
                </c:pt>
                <c:pt idx="79">
                  <c:v>28</c:v>
                </c:pt>
                <c:pt idx="80">
                  <c:v>29</c:v>
                </c:pt>
                <c:pt idx="81">
                  <c:v>30</c:v>
                </c:pt>
                <c:pt idx="82">
                  <c:v>31</c:v>
                </c:pt>
                <c:pt idx="83">
                  <c:v>31</c:v>
                </c:pt>
                <c:pt idx="84">
                  <c:v>32</c:v>
                </c:pt>
                <c:pt idx="85">
                  <c:v>33</c:v>
                </c:pt>
                <c:pt idx="86">
                  <c:v>34</c:v>
                </c:pt>
                <c:pt idx="87">
                  <c:v>35</c:v>
                </c:pt>
                <c:pt idx="88">
                  <c:v>36</c:v>
                </c:pt>
                <c:pt idx="89">
                  <c:v>37</c:v>
                </c:pt>
                <c:pt idx="90">
                  <c:v>38</c:v>
                </c:pt>
                <c:pt idx="91">
                  <c:v>39</c:v>
                </c:pt>
                <c:pt idx="92">
                  <c:v>41</c:v>
                </c:pt>
                <c:pt idx="93">
                  <c:v>42</c:v>
                </c:pt>
                <c:pt idx="94">
                  <c:v>43</c:v>
                </c:pt>
                <c:pt idx="95">
                  <c:v>44</c:v>
                </c:pt>
                <c:pt idx="96">
                  <c:v>45</c:v>
                </c:pt>
                <c:pt idx="97">
                  <c:v>47</c:v>
                </c:pt>
                <c:pt idx="98">
                  <c:v>48</c:v>
                </c:pt>
                <c:pt idx="99">
                  <c:v>49</c:v>
                </c:pt>
                <c:pt idx="100">
                  <c:v>51</c:v>
                </c:pt>
                <c:pt idx="101">
                  <c:v>52</c:v>
                </c:pt>
                <c:pt idx="102">
                  <c:v>54</c:v>
                </c:pt>
                <c:pt idx="103">
                  <c:v>55</c:v>
                </c:pt>
                <c:pt idx="104">
                  <c:v>57</c:v>
                </c:pt>
                <c:pt idx="105">
                  <c:v>59</c:v>
                </c:pt>
                <c:pt idx="106">
                  <c:v>60</c:v>
                </c:pt>
                <c:pt idx="107">
                  <c:v>62</c:v>
                </c:pt>
                <c:pt idx="108">
                  <c:v>64</c:v>
                </c:pt>
                <c:pt idx="109">
                  <c:v>66</c:v>
                </c:pt>
                <c:pt idx="110">
                  <c:v>68</c:v>
                </c:pt>
                <c:pt idx="111">
                  <c:v>69</c:v>
                </c:pt>
                <c:pt idx="112">
                  <c:v>71</c:v>
                </c:pt>
                <c:pt idx="113">
                  <c:v>74</c:v>
                </c:pt>
                <c:pt idx="114">
                  <c:v>76</c:v>
                </c:pt>
                <c:pt idx="115">
                  <c:v>78</c:v>
                </c:pt>
                <c:pt idx="116">
                  <c:v>80</c:v>
                </c:pt>
                <c:pt idx="117">
                  <c:v>82</c:v>
                </c:pt>
                <c:pt idx="118">
                  <c:v>85</c:v>
                </c:pt>
                <c:pt idx="119">
                  <c:v>87</c:v>
                </c:pt>
                <c:pt idx="120">
                  <c:v>90</c:v>
                </c:pt>
                <c:pt idx="121">
                  <c:v>92</c:v>
                </c:pt>
                <c:pt idx="122">
                  <c:v>95</c:v>
                </c:pt>
                <c:pt idx="123">
                  <c:v>98</c:v>
                </c:pt>
                <c:pt idx="124">
                  <c:v>100</c:v>
                </c:pt>
                <c:pt idx="125">
                  <c:v>103</c:v>
                </c:pt>
                <c:pt idx="126">
                  <c:v>106</c:v>
                </c:pt>
                <c:pt idx="127">
                  <c:v>109</c:v>
                </c:pt>
                <c:pt idx="128">
                  <c:v>112</c:v>
                </c:pt>
                <c:pt idx="129">
                  <c:v>116</c:v>
                </c:pt>
                <c:pt idx="130">
                  <c:v>119</c:v>
                </c:pt>
                <c:pt idx="131">
                  <c:v>122</c:v>
                </c:pt>
                <c:pt idx="132">
                  <c:v>126</c:v>
                </c:pt>
                <c:pt idx="133">
                  <c:v>130</c:v>
                </c:pt>
                <c:pt idx="134">
                  <c:v>133</c:v>
                </c:pt>
                <c:pt idx="135">
                  <c:v>137</c:v>
                </c:pt>
                <c:pt idx="136">
                  <c:v>141</c:v>
                </c:pt>
                <c:pt idx="137">
                  <c:v>145</c:v>
                </c:pt>
                <c:pt idx="138">
                  <c:v>149</c:v>
                </c:pt>
                <c:pt idx="139">
                  <c:v>153</c:v>
                </c:pt>
                <c:pt idx="140">
                  <c:v>158</c:v>
                </c:pt>
                <c:pt idx="141">
                  <c:v>162</c:v>
                </c:pt>
                <c:pt idx="142">
                  <c:v>167</c:v>
                </c:pt>
                <c:pt idx="143">
                  <c:v>172</c:v>
                </c:pt>
                <c:pt idx="144">
                  <c:v>177</c:v>
                </c:pt>
                <c:pt idx="145">
                  <c:v>182</c:v>
                </c:pt>
                <c:pt idx="146">
                  <c:v>187</c:v>
                </c:pt>
                <c:pt idx="147">
                  <c:v>193</c:v>
                </c:pt>
                <c:pt idx="148">
                  <c:v>198</c:v>
                </c:pt>
                <c:pt idx="149">
                  <c:v>204</c:v>
                </c:pt>
                <c:pt idx="150">
                  <c:v>210</c:v>
                </c:pt>
                <c:pt idx="151">
                  <c:v>216</c:v>
                </c:pt>
                <c:pt idx="152">
                  <c:v>222</c:v>
                </c:pt>
                <c:pt idx="153">
                  <c:v>228</c:v>
                </c:pt>
                <c:pt idx="154">
                  <c:v>235</c:v>
                </c:pt>
                <c:pt idx="155">
                  <c:v>241</c:v>
                </c:pt>
                <c:pt idx="156">
                  <c:v>248</c:v>
                </c:pt>
                <c:pt idx="157">
                  <c:v>255</c:v>
                </c:pt>
                <c:pt idx="158">
                  <c:v>263</c:v>
                </c:pt>
                <c:pt idx="159">
                  <c:v>270</c:v>
                </c:pt>
                <c:pt idx="160">
                  <c:v>278</c:v>
                </c:pt>
                <c:pt idx="161">
                  <c:v>286</c:v>
                </c:pt>
                <c:pt idx="162">
                  <c:v>294</c:v>
                </c:pt>
                <c:pt idx="163">
                  <c:v>303</c:v>
                </c:pt>
                <c:pt idx="164">
                  <c:v>311</c:v>
                </c:pt>
                <c:pt idx="165">
                  <c:v>320</c:v>
                </c:pt>
                <c:pt idx="166">
                  <c:v>330</c:v>
                </c:pt>
                <c:pt idx="167">
                  <c:v>339</c:v>
                </c:pt>
                <c:pt idx="168">
                  <c:v>349</c:v>
                </c:pt>
                <c:pt idx="169">
                  <c:v>359</c:v>
                </c:pt>
                <c:pt idx="170">
                  <c:v>369</c:v>
                </c:pt>
                <c:pt idx="171">
                  <c:v>380</c:v>
                </c:pt>
                <c:pt idx="172">
                  <c:v>391</c:v>
                </c:pt>
                <c:pt idx="173">
                  <c:v>402</c:v>
                </c:pt>
                <c:pt idx="174">
                  <c:v>413</c:v>
                </c:pt>
                <c:pt idx="175">
                  <c:v>425</c:v>
                </c:pt>
                <c:pt idx="176">
                  <c:v>437</c:v>
                </c:pt>
                <c:pt idx="177">
                  <c:v>450</c:v>
                </c:pt>
                <c:pt idx="178">
                  <c:v>463</c:v>
                </c:pt>
                <c:pt idx="179">
                  <c:v>476</c:v>
                </c:pt>
                <c:pt idx="180">
                  <c:v>490</c:v>
                </c:pt>
                <c:pt idx="181">
                  <c:v>504</c:v>
                </c:pt>
                <c:pt idx="182">
                  <c:v>518</c:v>
                </c:pt>
                <c:pt idx="183">
                  <c:v>533</c:v>
                </c:pt>
                <c:pt idx="184">
                  <c:v>549</c:v>
                </c:pt>
                <c:pt idx="185">
                  <c:v>564</c:v>
                </c:pt>
                <c:pt idx="186">
                  <c:v>581</c:v>
                </c:pt>
                <c:pt idx="187">
                  <c:v>597</c:v>
                </c:pt>
                <c:pt idx="188">
                  <c:v>614</c:v>
                </c:pt>
                <c:pt idx="189">
                  <c:v>632</c:v>
                </c:pt>
                <c:pt idx="190">
                  <c:v>650</c:v>
                </c:pt>
                <c:pt idx="191">
                  <c:v>669</c:v>
                </c:pt>
                <c:pt idx="192">
                  <c:v>688</c:v>
                </c:pt>
                <c:pt idx="193">
                  <c:v>708</c:v>
                </c:pt>
                <c:pt idx="194">
                  <c:v>728</c:v>
                </c:pt>
                <c:pt idx="195">
                  <c:v>749</c:v>
                </c:pt>
                <c:pt idx="196">
                  <c:v>771</c:v>
                </c:pt>
                <c:pt idx="197">
                  <c:v>793</c:v>
                </c:pt>
                <c:pt idx="198">
                  <c:v>816</c:v>
                </c:pt>
                <c:pt idx="199">
                  <c:v>839</c:v>
                </c:pt>
                <c:pt idx="200">
                  <c:v>863</c:v>
                </c:pt>
                <c:pt idx="201">
                  <c:v>888</c:v>
                </c:pt>
                <c:pt idx="202">
                  <c:v>913</c:v>
                </c:pt>
                <c:pt idx="203">
                  <c:v>940</c:v>
                </c:pt>
                <c:pt idx="204">
                  <c:v>967</c:v>
                </c:pt>
                <c:pt idx="205">
                  <c:v>994</c:v>
                </c:pt>
                <c:pt idx="206">
                  <c:v>1023</c:v>
                </c:pt>
                <c:pt idx="207">
                  <c:v>1052</c:v>
                </c:pt>
                <c:pt idx="208">
                  <c:v>1082</c:v>
                </c:pt>
                <c:pt idx="209">
                  <c:v>1114</c:v>
                </c:pt>
                <c:pt idx="210">
                  <c:v>1146</c:v>
                </c:pt>
                <c:pt idx="211">
                  <c:v>1178</c:v>
                </c:pt>
                <c:pt idx="212">
                  <c:v>1212</c:v>
                </c:pt>
                <c:pt idx="213">
                  <c:v>1247</c:v>
                </c:pt>
                <c:pt idx="214">
                  <c:v>1283</c:v>
                </c:pt>
                <c:pt idx="215">
                  <c:v>1320</c:v>
                </c:pt>
                <c:pt idx="216">
                  <c:v>1358</c:v>
                </c:pt>
                <c:pt idx="217">
                  <c:v>1397</c:v>
                </c:pt>
                <c:pt idx="218">
                  <c:v>1437</c:v>
                </c:pt>
                <c:pt idx="219">
                  <c:v>1478</c:v>
                </c:pt>
                <c:pt idx="220">
                  <c:v>1520</c:v>
                </c:pt>
                <c:pt idx="221">
                  <c:v>1564</c:v>
                </c:pt>
                <c:pt idx="222">
                  <c:v>1609</c:v>
                </c:pt>
                <c:pt idx="223">
                  <c:v>1655</c:v>
                </c:pt>
                <c:pt idx="224">
                  <c:v>1703</c:v>
                </c:pt>
                <c:pt idx="225">
                  <c:v>1752</c:v>
                </c:pt>
                <c:pt idx="226">
                  <c:v>1802</c:v>
                </c:pt>
                <c:pt idx="227">
                  <c:v>1854</c:v>
                </c:pt>
                <c:pt idx="228">
                  <c:v>1907</c:v>
                </c:pt>
                <c:pt idx="229">
                  <c:v>1962</c:v>
                </c:pt>
                <c:pt idx="230">
                  <c:v>2018</c:v>
                </c:pt>
                <c:pt idx="231">
                  <c:v>2076</c:v>
                </c:pt>
                <c:pt idx="232">
                  <c:v>2135</c:v>
                </c:pt>
                <c:pt idx="233">
                  <c:v>2197</c:v>
                </c:pt>
                <c:pt idx="234">
                  <c:v>2260</c:v>
                </c:pt>
                <c:pt idx="235">
                  <c:v>2325</c:v>
                </c:pt>
                <c:pt idx="236">
                  <c:v>2391</c:v>
                </c:pt>
                <c:pt idx="237">
                  <c:v>2460</c:v>
                </c:pt>
                <c:pt idx="238">
                  <c:v>2531</c:v>
                </c:pt>
                <c:pt idx="239">
                  <c:v>2603</c:v>
                </c:pt>
                <c:pt idx="240">
                  <c:v>2678</c:v>
                </c:pt>
                <c:pt idx="241">
                  <c:v>2755</c:v>
                </c:pt>
                <c:pt idx="242">
                  <c:v>2834</c:v>
                </c:pt>
                <c:pt idx="243">
                  <c:v>2916</c:v>
                </c:pt>
                <c:pt idx="244">
                  <c:v>2999</c:v>
                </c:pt>
                <c:pt idx="245">
                  <c:v>3085</c:v>
                </c:pt>
                <c:pt idx="246">
                  <c:v>3174</c:v>
                </c:pt>
                <c:pt idx="247">
                  <c:v>3265</c:v>
                </c:pt>
                <c:pt idx="248">
                  <c:v>3359</c:v>
                </c:pt>
                <c:pt idx="249">
                  <c:v>3455</c:v>
                </c:pt>
                <c:pt idx="250">
                  <c:v>3555</c:v>
                </c:pt>
                <c:pt idx="251">
                  <c:v>3657</c:v>
                </c:pt>
                <c:pt idx="252">
                  <c:v>3762</c:v>
                </c:pt>
                <c:pt idx="253">
                  <c:v>3870</c:v>
                </c:pt>
                <c:pt idx="254">
                  <c:v>3981</c:v>
                </c:pt>
                <c:pt idx="255">
                  <c:v>4095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'PWM Table for LED Fading or Dim'!$C$2</c:f>
              <c:strCache>
                <c:ptCount val="1"/>
                <c:pt idx="0">
                  <c:v>PWM2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none"/>
          </c:marker>
          <c:val>
            <c:numRef>
              <c:f>'PWM Table for LED Fading or Dim'!$C$3:$C$258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12</c:v>
                </c:pt>
                <c:pt idx="76">
                  <c:v>12</c:v>
                </c:pt>
                <c:pt idx="77">
                  <c:v>13</c:v>
                </c:pt>
                <c:pt idx="78">
                  <c:v>13</c:v>
                </c:pt>
                <c:pt idx="79">
                  <c:v>13</c:v>
                </c:pt>
                <c:pt idx="80">
                  <c:v>14</c:v>
                </c:pt>
                <c:pt idx="81">
                  <c:v>14</c:v>
                </c:pt>
                <c:pt idx="82">
                  <c:v>15</c:v>
                </c:pt>
                <c:pt idx="83">
                  <c:v>15</c:v>
                </c:pt>
                <c:pt idx="84">
                  <c:v>16</c:v>
                </c:pt>
                <c:pt idx="85">
                  <c:v>16</c:v>
                </c:pt>
                <c:pt idx="86">
                  <c:v>17</c:v>
                </c:pt>
                <c:pt idx="87">
                  <c:v>17</c:v>
                </c:pt>
                <c:pt idx="88">
                  <c:v>18</c:v>
                </c:pt>
                <c:pt idx="89">
                  <c:v>19</c:v>
                </c:pt>
                <c:pt idx="90">
                  <c:v>19</c:v>
                </c:pt>
                <c:pt idx="91">
                  <c:v>20</c:v>
                </c:pt>
                <c:pt idx="92">
                  <c:v>21</c:v>
                </c:pt>
                <c:pt idx="93">
                  <c:v>21</c:v>
                </c:pt>
                <c:pt idx="94">
                  <c:v>22</c:v>
                </c:pt>
                <c:pt idx="95">
                  <c:v>23</c:v>
                </c:pt>
                <c:pt idx="96">
                  <c:v>23</c:v>
                </c:pt>
                <c:pt idx="97">
                  <c:v>24</c:v>
                </c:pt>
                <c:pt idx="98">
                  <c:v>25</c:v>
                </c:pt>
                <c:pt idx="99">
                  <c:v>26</c:v>
                </c:pt>
                <c:pt idx="100">
                  <c:v>27</c:v>
                </c:pt>
                <c:pt idx="101">
                  <c:v>27</c:v>
                </c:pt>
                <c:pt idx="102">
                  <c:v>28</c:v>
                </c:pt>
                <c:pt idx="103">
                  <c:v>29</c:v>
                </c:pt>
                <c:pt idx="104">
                  <c:v>30</c:v>
                </c:pt>
                <c:pt idx="105">
                  <c:v>31</c:v>
                </c:pt>
                <c:pt idx="106">
                  <c:v>32</c:v>
                </c:pt>
                <c:pt idx="107">
                  <c:v>33</c:v>
                </c:pt>
                <c:pt idx="108">
                  <c:v>35</c:v>
                </c:pt>
                <c:pt idx="109">
                  <c:v>36</c:v>
                </c:pt>
                <c:pt idx="110">
                  <c:v>37</c:v>
                </c:pt>
                <c:pt idx="111">
                  <c:v>38</c:v>
                </c:pt>
                <c:pt idx="112">
                  <c:v>39</c:v>
                </c:pt>
                <c:pt idx="113">
                  <c:v>41</c:v>
                </c:pt>
                <c:pt idx="114">
                  <c:v>42</c:v>
                </c:pt>
                <c:pt idx="115">
                  <c:v>43</c:v>
                </c:pt>
                <c:pt idx="116">
                  <c:v>45</c:v>
                </c:pt>
                <c:pt idx="117">
                  <c:v>46</c:v>
                </c:pt>
                <c:pt idx="118">
                  <c:v>48</c:v>
                </c:pt>
                <c:pt idx="119">
                  <c:v>49</c:v>
                </c:pt>
                <c:pt idx="120">
                  <c:v>51</c:v>
                </c:pt>
                <c:pt idx="121">
                  <c:v>53</c:v>
                </c:pt>
                <c:pt idx="122">
                  <c:v>54</c:v>
                </c:pt>
                <c:pt idx="123">
                  <c:v>56</c:v>
                </c:pt>
                <c:pt idx="124">
                  <c:v>58</c:v>
                </c:pt>
                <c:pt idx="125">
                  <c:v>60</c:v>
                </c:pt>
                <c:pt idx="126">
                  <c:v>62</c:v>
                </c:pt>
                <c:pt idx="127">
                  <c:v>64</c:v>
                </c:pt>
                <c:pt idx="128">
                  <c:v>66</c:v>
                </c:pt>
                <c:pt idx="129">
                  <c:v>68</c:v>
                </c:pt>
                <c:pt idx="130">
                  <c:v>71</c:v>
                </c:pt>
                <c:pt idx="131">
                  <c:v>73</c:v>
                </c:pt>
                <c:pt idx="132">
                  <c:v>75</c:v>
                </c:pt>
                <c:pt idx="133">
                  <c:v>78</c:v>
                </c:pt>
                <c:pt idx="134">
                  <c:v>80</c:v>
                </c:pt>
                <c:pt idx="135">
                  <c:v>83</c:v>
                </c:pt>
                <c:pt idx="136">
                  <c:v>86</c:v>
                </c:pt>
                <c:pt idx="137">
                  <c:v>89</c:v>
                </c:pt>
                <c:pt idx="138">
                  <c:v>91</c:v>
                </c:pt>
                <c:pt idx="139">
                  <c:v>95</c:v>
                </c:pt>
                <c:pt idx="140">
                  <c:v>98</c:v>
                </c:pt>
                <c:pt idx="141">
                  <c:v>101</c:v>
                </c:pt>
                <c:pt idx="142">
                  <c:v>104</c:v>
                </c:pt>
                <c:pt idx="143">
                  <c:v>108</c:v>
                </c:pt>
                <c:pt idx="144">
                  <c:v>111</c:v>
                </c:pt>
                <c:pt idx="145">
                  <c:v>115</c:v>
                </c:pt>
                <c:pt idx="146">
                  <c:v>119</c:v>
                </c:pt>
                <c:pt idx="147">
                  <c:v>123</c:v>
                </c:pt>
                <c:pt idx="148">
                  <c:v>127</c:v>
                </c:pt>
                <c:pt idx="149">
                  <c:v>131</c:v>
                </c:pt>
                <c:pt idx="150">
                  <c:v>135</c:v>
                </c:pt>
                <c:pt idx="151">
                  <c:v>140</c:v>
                </c:pt>
                <c:pt idx="152">
                  <c:v>144</c:v>
                </c:pt>
                <c:pt idx="153">
                  <c:v>149</c:v>
                </c:pt>
                <c:pt idx="154">
                  <c:v>154</c:v>
                </c:pt>
                <c:pt idx="155">
                  <c:v>159</c:v>
                </c:pt>
                <c:pt idx="156">
                  <c:v>164</c:v>
                </c:pt>
                <c:pt idx="157">
                  <c:v>170</c:v>
                </c:pt>
                <c:pt idx="158">
                  <c:v>175</c:v>
                </c:pt>
                <c:pt idx="159">
                  <c:v>181</c:v>
                </c:pt>
                <c:pt idx="160">
                  <c:v>187</c:v>
                </c:pt>
                <c:pt idx="161">
                  <c:v>193</c:v>
                </c:pt>
                <c:pt idx="162">
                  <c:v>200</c:v>
                </c:pt>
                <c:pt idx="163">
                  <c:v>206</c:v>
                </c:pt>
                <c:pt idx="164">
                  <c:v>213</c:v>
                </c:pt>
                <c:pt idx="165">
                  <c:v>220</c:v>
                </c:pt>
                <c:pt idx="166">
                  <c:v>227</c:v>
                </c:pt>
                <c:pt idx="167">
                  <c:v>235</c:v>
                </c:pt>
                <c:pt idx="168">
                  <c:v>242</c:v>
                </c:pt>
                <c:pt idx="169">
                  <c:v>250</c:v>
                </c:pt>
                <c:pt idx="170">
                  <c:v>259</c:v>
                </c:pt>
                <c:pt idx="171">
                  <c:v>267</c:v>
                </c:pt>
                <c:pt idx="172">
                  <c:v>276</c:v>
                </c:pt>
                <c:pt idx="173">
                  <c:v>285</c:v>
                </c:pt>
                <c:pt idx="174">
                  <c:v>295</c:v>
                </c:pt>
                <c:pt idx="175">
                  <c:v>304</c:v>
                </c:pt>
                <c:pt idx="176">
                  <c:v>314</c:v>
                </c:pt>
                <c:pt idx="177">
                  <c:v>325</c:v>
                </c:pt>
                <c:pt idx="178">
                  <c:v>336</c:v>
                </c:pt>
                <c:pt idx="179">
                  <c:v>347</c:v>
                </c:pt>
                <c:pt idx="180">
                  <c:v>358</c:v>
                </c:pt>
                <c:pt idx="181">
                  <c:v>370</c:v>
                </c:pt>
                <c:pt idx="182">
                  <c:v>382</c:v>
                </c:pt>
                <c:pt idx="183">
                  <c:v>395</c:v>
                </c:pt>
                <c:pt idx="184">
                  <c:v>408</c:v>
                </c:pt>
                <c:pt idx="185">
                  <c:v>421</c:v>
                </c:pt>
                <c:pt idx="186">
                  <c:v>435</c:v>
                </c:pt>
                <c:pt idx="187">
                  <c:v>450</c:v>
                </c:pt>
                <c:pt idx="188">
                  <c:v>464</c:v>
                </c:pt>
                <c:pt idx="189">
                  <c:v>480</c:v>
                </c:pt>
                <c:pt idx="190">
                  <c:v>496</c:v>
                </c:pt>
                <c:pt idx="191">
                  <c:v>512</c:v>
                </c:pt>
                <c:pt idx="192">
                  <c:v>529</c:v>
                </c:pt>
                <c:pt idx="193">
                  <c:v>546</c:v>
                </c:pt>
                <c:pt idx="194">
                  <c:v>564</c:v>
                </c:pt>
                <c:pt idx="195">
                  <c:v>583</c:v>
                </c:pt>
                <c:pt idx="196">
                  <c:v>602</c:v>
                </c:pt>
                <c:pt idx="197">
                  <c:v>622</c:v>
                </c:pt>
                <c:pt idx="198">
                  <c:v>643</c:v>
                </c:pt>
                <c:pt idx="199">
                  <c:v>664</c:v>
                </c:pt>
                <c:pt idx="200">
                  <c:v>686</c:v>
                </c:pt>
                <c:pt idx="201">
                  <c:v>708</c:v>
                </c:pt>
                <c:pt idx="202">
                  <c:v>732</c:v>
                </c:pt>
                <c:pt idx="203">
                  <c:v>756</c:v>
                </c:pt>
                <c:pt idx="204">
                  <c:v>781</c:v>
                </c:pt>
                <c:pt idx="205">
                  <c:v>807</c:v>
                </c:pt>
                <c:pt idx="206">
                  <c:v>833</c:v>
                </c:pt>
                <c:pt idx="207">
                  <c:v>861</c:v>
                </c:pt>
                <c:pt idx="208">
                  <c:v>889</c:v>
                </c:pt>
                <c:pt idx="209">
                  <c:v>919</c:v>
                </c:pt>
                <c:pt idx="210">
                  <c:v>949</c:v>
                </c:pt>
                <c:pt idx="211">
                  <c:v>980</c:v>
                </c:pt>
                <c:pt idx="212">
                  <c:v>1013</c:v>
                </c:pt>
                <c:pt idx="213">
                  <c:v>1046</c:v>
                </c:pt>
                <c:pt idx="214">
                  <c:v>1081</c:v>
                </c:pt>
                <c:pt idx="215">
                  <c:v>1116</c:v>
                </c:pt>
                <c:pt idx="216">
                  <c:v>1153</c:v>
                </c:pt>
                <c:pt idx="217">
                  <c:v>1191</c:v>
                </c:pt>
                <c:pt idx="218">
                  <c:v>1231</c:v>
                </c:pt>
                <c:pt idx="219">
                  <c:v>1271</c:v>
                </c:pt>
                <c:pt idx="220">
                  <c:v>1313</c:v>
                </c:pt>
                <c:pt idx="221">
                  <c:v>1357</c:v>
                </c:pt>
                <c:pt idx="222">
                  <c:v>1402</c:v>
                </c:pt>
                <c:pt idx="223">
                  <c:v>1448</c:v>
                </c:pt>
                <c:pt idx="224">
                  <c:v>1496</c:v>
                </c:pt>
                <c:pt idx="225">
                  <c:v>1545</c:v>
                </c:pt>
                <c:pt idx="226">
                  <c:v>1596</c:v>
                </c:pt>
                <c:pt idx="227">
                  <c:v>1649</c:v>
                </c:pt>
                <c:pt idx="228">
                  <c:v>1703</c:v>
                </c:pt>
                <c:pt idx="229">
                  <c:v>1759</c:v>
                </c:pt>
                <c:pt idx="230">
                  <c:v>1818</c:v>
                </c:pt>
                <c:pt idx="231">
                  <c:v>1878</c:v>
                </c:pt>
                <c:pt idx="232">
                  <c:v>1940</c:v>
                </c:pt>
                <c:pt idx="233">
                  <c:v>2004</c:v>
                </c:pt>
                <c:pt idx="234">
                  <c:v>2070</c:v>
                </c:pt>
                <c:pt idx="235">
                  <c:v>2138</c:v>
                </c:pt>
                <c:pt idx="236">
                  <c:v>2209</c:v>
                </c:pt>
                <c:pt idx="237">
                  <c:v>2282</c:v>
                </c:pt>
                <c:pt idx="238">
                  <c:v>2357</c:v>
                </c:pt>
                <c:pt idx="239">
                  <c:v>2435</c:v>
                </c:pt>
                <c:pt idx="240">
                  <c:v>2515</c:v>
                </c:pt>
                <c:pt idx="241">
                  <c:v>2598</c:v>
                </c:pt>
                <c:pt idx="242">
                  <c:v>2684</c:v>
                </c:pt>
                <c:pt idx="243">
                  <c:v>2773</c:v>
                </c:pt>
                <c:pt idx="244">
                  <c:v>2864</c:v>
                </c:pt>
                <c:pt idx="245">
                  <c:v>2959</c:v>
                </c:pt>
                <c:pt idx="246">
                  <c:v>3057</c:v>
                </c:pt>
                <c:pt idx="247">
                  <c:v>3158</c:v>
                </c:pt>
                <c:pt idx="248">
                  <c:v>3262</c:v>
                </c:pt>
                <c:pt idx="249">
                  <c:v>3370</c:v>
                </c:pt>
                <c:pt idx="250">
                  <c:v>3481</c:v>
                </c:pt>
                <c:pt idx="251">
                  <c:v>3596</c:v>
                </c:pt>
                <c:pt idx="252">
                  <c:v>3715</c:v>
                </c:pt>
                <c:pt idx="253">
                  <c:v>3837</c:v>
                </c:pt>
                <c:pt idx="254">
                  <c:v>3964</c:v>
                </c:pt>
                <c:pt idx="255">
                  <c:v>4095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'PWM Table for LED Fading or Dim'!$D$2</c:f>
              <c:strCache>
                <c:ptCount val="1"/>
                <c:pt idx="0">
                  <c:v>PWM3</c:v>
                </c:pt>
              </c:strCache>
            </c:strRef>
          </c:tx>
          <c:spPr>
            <a:ln w="28800">
              <a:solidFill>
                <a:srgbClr val="FFD320"/>
              </a:solidFill>
            </a:ln>
          </c:spPr>
          <c:marker>
            <c:symbol val="none"/>
          </c:marker>
          <c:val>
            <c:numRef>
              <c:f>'PWM Table for LED Fading or Dim'!$D$3:$D$258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13</c:v>
                </c:pt>
                <c:pt idx="81">
                  <c:v>13</c:v>
                </c:pt>
                <c:pt idx="82">
                  <c:v>14</c:v>
                </c:pt>
                <c:pt idx="83">
                  <c:v>14</c:v>
                </c:pt>
                <c:pt idx="84">
                  <c:v>15</c:v>
                </c:pt>
                <c:pt idx="85">
                  <c:v>15</c:v>
                </c:pt>
                <c:pt idx="86">
                  <c:v>16</c:v>
                </c:pt>
                <c:pt idx="87">
                  <c:v>16</c:v>
                </c:pt>
                <c:pt idx="88">
                  <c:v>17</c:v>
                </c:pt>
                <c:pt idx="89">
                  <c:v>18</c:v>
                </c:pt>
                <c:pt idx="90">
                  <c:v>18</c:v>
                </c:pt>
                <c:pt idx="91">
                  <c:v>19</c:v>
                </c:pt>
                <c:pt idx="92">
                  <c:v>20</c:v>
                </c:pt>
                <c:pt idx="93">
                  <c:v>20</c:v>
                </c:pt>
                <c:pt idx="94">
                  <c:v>21</c:v>
                </c:pt>
                <c:pt idx="95">
                  <c:v>22</c:v>
                </c:pt>
                <c:pt idx="96">
                  <c:v>22</c:v>
                </c:pt>
                <c:pt idx="97">
                  <c:v>23</c:v>
                </c:pt>
                <c:pt idx="98">
                  <c:v>24</c:v>
                </c:pt>
                <c:pt idx="99">
                  <c:v>25</c:v>
                </c:pt>
                <c:pt idx="100">
                  <c:v>26</c:v>
                </c:pt>
                <c:pt idx="101">
                  <c:v>26</c:v>
                </c:pt>
                <c:pt idx="102">
                  <c:v>27</c:v>
                </c:pt>
                <c:pt idx="103">
                  <c:v>28</c:v>
                </c:pt>
                <c:pt idx="104">
                  <c:v>29</c:v>
                </c:pt>
                <c:pt idx="105">
                  <c:v>30</c:v>
                </c:pt>
                <c:pt idx="106">
                  <c:v>31</c:v>
                </c:pt>
                <c:pt idx="107">
                  <c:v>32</c:v>
                </c:pt>
                <c:pt idx="108">
                  <c:v>34</c:v>
                </c:pt>
                <c:pt idx="109">
                  <c:v>35</c:v>
                </c:pt>
                <c:pt idx="110">
                  <c:v>36</c:v>
                </c:pt>
                <c:pt idx="111">
                  <c:v>37</c:v>
                </c:pt>
                <c:pt idx="112">
                  <c:v>38</c:v>
                </c:pt>
                <c:pt idx="113">
                  <c:v>40</c:v>
                </c:pt>
                <c:pt idx="114">
                  <c:v>41</c:v>
                </c:pt>
                <c:pt idx="115">
                  <c:v>42</c:v>
                </c:pt>
                <c:pt idx="116">
                  <c:v>44</c:v>
                </c:pt>
                <c:pt idx="117">
                  <c:v>45</c:v>
                </c:pt>
                <c:pt idx="118">
                  <c:v>47</c:v>
                </c:pt>
                <c:pt idx="119">
                  <c:v>48</c:v>
                </c:pt>
                <c:pt idx="120">
                  <c:v>50</c:v>
                </c:pt>
                <c:pt idx="121">
                  <c:v>52</c:v>
                </c:pt>
                <c:pt idx="122">
                  <c:v>53</c:v>
                </c:pt>
                <c:pt idx="123">
                  <c:v>55</c:v>
                </c:pt>
                <c:pt idx="124">
                  <c:v>57</c:v>
                </c:pt>
                <c:pt idx="125">
                  <c:v>59</c:v>
                </c:pt>
                <c:pt idx="126">
                  <c:v>61</c:v>
                </c:pt>
                <c:pt idx="127">
                  <c:v>63</c:v>
                </c:pt>
                <c:pt idx="128">
                  <c:v>65</c:v>
                </c:pt>
                <c:pt idx="129">
                  <c:v>67</c:v>
                </c:pt>
                <c:pt idx="130">
                  <c:v>70</c:v>
                </c:pt>
                <c:pt idx="131">
                  <c:v>72</c:v>
                </c:pt>
                <c:pt idx="132">
                  <c:v>74</c:v>
                </c:pt>
                <c:pt idx="133">
                  <c:v>77</c:v>
                </c:pt>
                <c:pt idx="134">
                  <c:v>79</c:v>
                </c:pt>
                <c:pt idx="135">
                  <c:v>82</c:v>
                </c:pt>
                <c:pt idx="136">
                  <c:v>85</c:v>
                </c:pt>
                <c:pt idx="137">
                  <c:v>88</c:v>
                </c:pt>
                <c:pt idx="138">
                  <c:v>90</c:v>
                </c:pt>
                <c:pt idx="139">
                  <c:v>94</c:v>
                </c:pt>
                <c:pt idx="140">
                  <c:v>97</c:v>
                </c:pt>
                <c:pt idx="141">
                  <c:v>100</c:v>
                </c:pt>
                <c:pt idx="142">
                  <c:v>103</c:v>
                </c:pt>
                <c:pt idx="143">
                  <c:v>107</c:v>
                </c:pt>
                <c:pt idx="144">
                  <c:v>110</c:v>
                </c:pt>
                <c:pt idx="145">
                  <c:v>114</c:v>
                </c:pt>
                <c:pt idx="146">
                  <c:v>118</c:v>
                </c:pt>
                <c:pt idx="147">
                  <c:v>122</c:v>
                </c:pt>
                <c:pt idx="148">
                  <c:v>126</c:v>
                </c:pt>
                <c:pt idx="149">
                  <c:v>130</c:v>
                </c:pt>
                <c:pt idx="150">
                  <c:v>134</c:v>
                </c:pt>
                <c:pt idx="151">
                  <c:v>139</c:v>
                </c:pt>
                <c:pt idx="152">
                  <c:v>143</c:v>
                </c:pt>
                <c:pt idx="153">
                  <c:v>148</c:v>
                </c:pt>
                <c:pt idx="154">
                  <c:v>153</c:v>
                </c:pt>
                <c:pt idx="155">
                  <c:v>158</c:v>
                </c:pt>
                <c:pt idx="156">
                  <c:v>163</c:v>
                </c:pt>
                <c:pt idx="157">
                  <c:v>169</c:v>
                </c:pt>
                <c:pt idx="158">
                  <c:v>174</c:v>
                </c:pt>
                <c:pt idx="159">
                  <c:v>180</c:v>
                </c:pt>
                <c:pt idx="160">
                  <c:v>186</c:v>
                </c:pt>
                <c:pt idx="161">
                  <c:v>192</c:v>
                </c:pt>
                <c:pt idx="162">
                  <c:v>199</c:v>
                </c:pt>
                <c:pt idx="163">
                  <c:v>205</c:v>
                </c:pt>
                <c:pt idx="164">
                  <c:v>212</c:v>
                </c:pt>
                <c:pt idx="165">
                  <c:v>219</c:v>
                </c:pt>
                <c:pt idx="166">
                  <c:v>226</c:v>
                </c:pt>
                <c:pt idx="167">
                  <c:v>234</c:v>
                </c:pt>
                <c:pt idx="168">
                  <c:v>242</c:v>
                </c:pt>
                <c:pt idx="169">
                  <c:v>250</c:v>
                </c:pt>
                <c:pt idx="170">
                  <c:v>258</c:v>
                </c:pt>
                <c:pt idx="171">
                  <c:v>266</c:v>
                </c:pt>
                <c:pt idx="172">
                  <c:v>275</c:v>
                </c:pt>
                <c:pt idx="173">
                  <c:v>284</c:v>
                </c:pt>
                <c:pt idx="174">
                  <c:v>294</c:v>
                </c:pt>
                <c:pt idx="175">
                  <c:v>303</c:v>
                </c:pt>
                <c:pt idx="176">
                  <c:v>313</c:v>
                </c:pt>
                <c:pt idx="177">
                  <c:v>324</c:v>
                </c:pt>
                <c:pt idx="178">
                  <c:v>335</c:v>
                </c:pt>
                <c:pt idx="179">
                  <c:v>346</c:v>
                </c:pt>
                <c:pt idx="180">
                  <c:v>357</c:v>
                </c:pt>
                <c:pt idx="181">
                  <c:v>369</c:v>
                </c:pt>
                <c:pt idx="182">
                  <c:v>381</c:v>
                </c:pt>
                <c:pt idx="183">
                  <c:v>394</c:v>
                </c:pt>
                <c:pt idx="184">
                  <c:v>407</c:v>
                </c:pt>
                <c:pt idx="185">
                  <c:v>420</c:v>
                </c:pt>
                <c:pt idx="186">
                  <c:v>434</c:v>
                </c:pt>
                <c:pt idx="187">
                  <c:v>449</c:v>
                </c:pt>
                <c:pt idx="188">
                  <c:v>463</c:v>
                </c:pt>
                <c:pt idx="189">
                  <c:v>479</c:v>
                </c:pt>
                <c:pt idx="190">
                  <c:v>495</c:v>
                </c:pt>
                <c:pt idx="191">
                  <c:v>511</c:v>
                </c:pt>
                <c:pt idx="192">
                  <c:v>528</c:v>
                </c:pt>
                <c:pt idx="193">
                  <c:v>545</c:v>
                </c:pt>
                <c:pt idx="194">
                  <c:v>563</c:v>
                </c:pt>
                <c:pt idx="195">
                  <c:v>582</c:v>
                </c:pt>
                <c:pt idx="196">
                  <c:v>601</c:v>
                </c:pt>
                <c:pt idx="197">
                  <c:v>621</c:v>
                </c:pt>
                <c:pt idx="198">
                  <c:v>642</c:v>
                </c:pt>
                <c:pt idx="199">
                  <c:v>663</c:v>
                </c:pt>
                <c:pt idx="200">
                  <c:v>685</c:v>
                </c:pt>
                <c:pt idx="201">
                  <c:v>708</c:v>
                </c:pt>
                <c:pt idx="202">
                  <c:v>731</c:v>
                </c:pt>
                <c:pt idx="203">
                  <c:v>755</c:v>
                </c:pt>
                <c:pt idx="204">
                  <c:v>780</c:v>
                </c:pt>
                <c:pt idx="205">
                  <c:v>806</c:v>
                </c:pt>
                <c:pt idx="206">
                  <c:v>833</c:v>
                </c:pt>
                <c:pt idx="207">
                  <c:v>860</c:v>
                </c:pt>
                <c:pt idx="208">
                  <c:v>889</c:v>
                </c:pt>
                <c:pt idx="209">
                  <c:v>918</c:v>
                </c:pt>
                <c:pt idx="210">
                  <c:v>948</c:v>
                </c:pt>
                <c:pt idx="211">
                  <c:v>980</c:v>
                </c:pt>
                <c:pt idx="212">
                  <c:v>1012</c:v>
                </c:pt>
                <c:pt idx="213">
                  <c:v>1045</c:v>
                </c:pt>
                <c:pt idx="214">
                  <c:v>1080</c:v>
                </c:pt>
                <c:pt idx="215">
                  <c:v>1116</c:v>
                </c:pt>
                <c:pt idx="216">
                  <c:v>1153</c:v>
                </c:pt>
                <c:pt idx="217">
                  <c:v>1191</c:v>
                </c:pt>
                <c:pt idx="218">
                  <c:v>1230</c:v>
                </c:pt>
                <c:pt idx="219">
                  <c:v>1271</c:v>
                </c:pt>
                <c:pt idx="220">
                  <c:v>1313</c:v>
                </c:pt>
                <c:pt idx="221">
                  <c:v>1356</c:v>
                </c:pt>
                <c:pt idx="222">
                  <c:v>1401</c:v>
                </c:pt>
                <c:pt idx="223">
                  <c:v>1447</c:v>
                </c:pt>
                <c:pt idx="224">
                  <c:v>1495</c:v>
                </c:pt>
                <c:pt idx="225">
                  <c:v>1544</c:v>
                </c:pt>
                <c:pt idx="226">
                  <c:v>1595</c:v>
                </c:pt>
                <c:pt idx="227">
                  <c:v>1648</c:v>
                </c:pt>
                <c:pt idx="228">
                  <c:v>1703</c:v>
                </c:pt>
                <c:pt idx="229">
                  <c:v>1759</c:v>
                </c:pt>
                <c:pt idx="230">
                  <c:v>1817</c:v>
                </c:pt>
                <c:pt idx="231">
                  <c:v>1877</c:v>
                </c:pt>
                <c:pt idx="232">
                  <c:v>1939</c:v>
                </c:pt>
                <c:pt idx="233">
                  <c:v>2003</c:v>
                </c:pt>
                <c:pt idx="234">
                  <c:v>2069</c:v>
                </c:pt>
                <c:pt idx="235">
                  <c:v>2138</c:v>
                </c:pt>
                <c:pt idx="236">
                  <c:v>2208</c:v>
                </c:pt>
                <c:pt idx="237">
                  <c:v>2281</c:v>
                </c:pt>
                <c:pt idx="238">
                  <c:v>2357</c:v>
                </c:pt>
                <c:pt idx="239">
                  <c:v>2434</c:v>
                </c:pt>
                <c:pt idx="240">
                  <c:v>2515</c:v>
                </c:pt>
                <c:pt idx="241">
                  <c:v>2598</c:v>
                </c:pt>
                <c:pt idx="242">
                  <c:v>2684</c:v>
                </c:pt>
                <c:pt idx="243">
                  <c:v>2773</c:v>
                </c:pt>
                <c:pt idx="244">
                  <c:v>2864</c:v>
                </c:pt>
                <c:pt idx="245">
                  <c:v>2959</c:v>
                </c:pt>
                <c:pt idx="246">
                  <c:v>3056</c:v>
                </c:pt>
                <c:pt idx="247">
                  <c:v>3157</c:v>
                </c:pt>
                <c:pt idx="248">
                  <c:v>3262</c:v>
                </c:pt>
                <c:pt idx="249">
                  <c:v>3370</c:v>
                </c:pt>
                <c:pt idx="250">
                  <c:v>3481</c:v>
                </c:pt>
                <c:pt idx="251">
                  <c:v>3596</c:v>
                </c:pt>
                <c:pt idx="252">
                  <c:v>3715</c:v>
                </c:pt>
                <c:pt idx="253">
                  <c:v>3837</c:v>
                </c:pt>
                <c:pt idx="254">
                  <c:v>3964</c:v>
                </c:pt>
                <c:pt idx="255">
                  <c:v>4095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748032"/>
        <c:axId val="198746496"/>
      </c:lineChart>
      <c:valAx>
        <c:axId val="198746496"/>
        <c:scaling>
          <c:orientation val="minMax"/>
          <c:max val="30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 b="0">
                <a:solidFill>
                  <a:srgbClr val="000000"/>
                </a:solidFill>
                <a:cs typeface="Arial"/>
              </a:defRPr>
            </a:pPr>
            <a:endParaRPr lang="de-DE"/>
          </a:p>
        </c:txPr>
        <c:crossAx val="198748032"/>
        <c:crossesAt val="1"/>
        <c:crossBetween val="between"/>
      </c:valAx>
      <c:catAx>
        <c:axId val="19874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 b="0">
                <a:solidFill>
                  <a:srgbClr val="000000"/>
                </a:solidFill>
                <a:cs typeface="Arial"/>
              </a:defRPr>
            </a:pPr>
            <a:endParaRPr lang="de-DE"/>
          </a:p>
        </c:txPr>
        <c:crossAx val="198746496"/>
        <c:crossesAt val="0.1"/>
        <c:auto val="1"/>
        <c:lblAlgn val="ctr"/>
        <c:lblOffset val="100"/>
        <c:noMultiLvlLbl val="0"/>
      </c:catAx>
      <c:spPr>
        <a:solidFill>
          <a:srgbClr val="C0C0C0"/>
        </a:solidFill>
        <a:ln w="126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ln>
      <a:solidFill>
        <a:srgbClr val="000000"/>
      </a:solidFill>
      <a:prstDash val="solid"/>
    </a:ln>
  </c:spPr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19080</xdr:colOff>
      <xdr:row>9</xdr:row>
      <xdr:rowOff>97560</xdr:rowOff>
    </xdr:from>
    <xdr:ext cx="5039280" cy="5038920"/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11</xdr:col>
      <xdr:colOff>32400</xdr:colOff>
      <xdr:row>9</xdr:row>
      <xdr:rowOff>97560</xdr:rowOff>
    </xdr:from>
    <xdr:ext cx="3960360" cy="2700000"/>
    <xdr:graphicFrame macro="">
      <xdr:nvGraphicFramePr>
        <xdr:cNvPr id="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11</xdr:col>
      <xdr:colOff>32400</xdr:colOff>
      <xdr:row>23</xdr:row>
      <xdr:rowOff>148320</xdr:rowOff>
    </xdr:from>
    <xdr:ext cx="3960360" cy="2338560"/>
    <xdr:graphicFrame macro="">
      <xdr:nvGraphicFramePr>
        <xdr:cNvPr id="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0</xdr:row>
          <xdr:rowOff>171450</xdr:rowOff>
        </xdr:from>
        <xdr:to>
          <xdr:col>1</xdr:col>
          <xdr:colOff>809625</xdr:colOff>
          <xdr:row>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1"/>
                </a:rPr>
                <a:t>PWM1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0</xdr:row>
          <xdr:rowOff>171450</xdr:rowOff>
        </xdr:from>
        <xdr:to>
          <xdr:col>3</xdr:col>
          <xdr:colOff>0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1"/>
                </a:rPr>
                <a:t>PWM2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180975</xdr:rowOff>
        </xdr:from>
        <xdr:to>
          <xdr:col>3</xdr:col>
          <xdr:colOff>800100</xdr:colOff>
          <xdr:row>1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1"/>
                </a:rPr>
                <a:t>PWM3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O258"/>
  <sheetViews>
    <sheetView tabSelected="1" zoomScaleNormal="100" workbookViewId="0">
      <selection activeCell="B3" sqref="B3"/>
    </sheetView>
  </sheetViews>
  <sheetFormatPr baseColWidth="10" defaultRowHeight="14.25"/>
  <cols>
    <col min="1" max="1" width="7.125" customWidth="1"/>
    <col min="2" max="4" width="10.625" customWidth="1"/>
    <col min="5" max="5" width="3.5" customWidth="1"/>
    <col min="6" max="6" width="14.25" customWidth="1"/>
    <col min="7" max="7" width="10.5" customWidth="1"/>
    <col min="8" max="10" width="10.25" customWidth="1"/>
    <col min="11" max="11" width="11.5" customWidth="1"/>
    <col min="12" max="1024" width="10.25" customWidth="1"/>
  </cols>
  <sheetData>
    <row r="1" spans="1:15">
      <c r="A1" t="s">
        <v>30</v>
      </c>
      <c r="F1" s="1" t="s">
        <v>0</v>
      </c>
      <c r="G1" s="2">
        <v>4095</v>
      </c>
    </row>
    <row r="2" spans="1:15" ht="15">
      <c r="A2" s="3" t="s">
        <v>1</v>
      </c>
      <c r="B2" s="3" t="s">
        <v>2</v>
      </c>
      <c r="C2" s="4" t="s">
        <v>3</v>
      </c>
      <c r="D2" s="4" t="s">
        <v>4</v>
      </c>
      <c r="E2" s="4"/>
      <c r="F2" s="1" t="s">
        <v>5</v>
      </c>
      <c r="G2" s="2">
        <v>256</v>
      </c>
      <c r="L2" s="2"/>
      <c r="M2" t="s">
        <v>6</v>
      </c>
    </row>
    <row r="3" spans="1:15" ht="15">
      <c r="A3">
        <v>0</v>
      </c>
      <c r="B3" s="8">
        <v>0</v>
      </c>
      <c r="C3" s="8">
        <v>0</v>
      </c>
      <c r="D3" s="8">
        <f t="shared" ref="D3:D66" si="0">ROUND(2^($G$5*($A3+1)/$G$2)-1,0)</f>
        <v>0</v>
      </c>
      <c r="F3" s="4" t="s">
        <v>7</v>
      </c>
      <c r="G3" s="2">
        <v>3</v>
      </c>
      <c r="L3" s="5"/>
      <c r="M3" t="s">
        <v>8</v>
      </c>
    </row>
    <row r="4" spans="1:15" ht="15">
      <c r="A4">
        <v>1</v>
      </c>
      <c r="B4" s="8">
        <f t="shared" ref="B4:B67" si="1">ROUND($G$3*POWER($G$6,A4),0)</f>
        <v>3</v>
      </c>
      <c r="C4" s="8">
        <f>ROUND(2^($G$4*($A4)/$G$2),0)</f>
        <v>1</v>
      </c>
      <c r="D4" s="8">
        <f t="shared" si="0"/>
        <v>0</v>
      </c>
      <c r="F4" s="6" t="s">
        <v>9</v>
      </c>
      <c r="G4" s="7">
        <f>LOG($G$1)/LOG(2)</f>
        <v>11.999647736528372</v>
      </c>
      <c r="H4" s="14" t="s">
        <v>10</v>
      </c>
      <c r="I4" s="14"/>
      <c r="J4" s="14"/>
      <c r="K4" s="14"/>
      <c r="L4" s="8"/>
      <c r="M4" t="s">
        <v>11</v>
      </c>
    </row>
    <row r="5" spans="1:15" ht="15">
      <c r="A5">
        <v>2</v>
      </c>
      <c r="B5" s="8">
        <f t="shared" si="1"/>
        <v>3</v>
      </c>
      <c r="C5" s="8">
        <f t="shared" ref="C5:C68" si="2">ROUND(2^($G$4*($A5+1)/$G$2),0)</f>
        <v>1</v>
      </c>
      <c r="D5" s="8">
        <f t="shared" si="0"/>
        <v>0</v>
      </c>
      <c r="F5" s="6" t="s">
        <v>12</v>
      </c>
      <c r="G5" s="7">
        <f>LOG($G$1+1)/LOG(2)</f>
        <v>12</v>
      </c>
      <c r="H5" s="14" t="s">
        <v>13</v>
      </c>
      <c r="I5" s="14"/>
      <c r="J5" s="14"/>
      <c r="K5" s="14"/>
    </row>
    <row r="6" spans="1:15" ht="15">
      <c r="A6">
        <v>3</v>
      </c>
      <c r="B6" s="8">
        <f t="shared" si="1"/>
        <v>3</v>
      </c>
      <c r="C6" s="8">
        <f t="shared" si="2"/>
        <v>1</v>
      </c>
      <c r="D6" s="8">
        <f t="shared" si="0"/>
        <v>0</v>
      </c>
      <c r="F6" s="1" t="s">
        <v>14</v>
      </c>
      <c r="G6" s="7">
        <f>POWER(G1/G3,1/(G2-1))</f>
        <v>1.0287139705393034</v>
      </c>
      <c r="H6" s="14" t="s">
        <v>15</v>
      </c>
      <c r="I6" s="14"/>
      <c r="J6" s="14"/>
      <c r="K6" s="14"/>
    </row>
    <row r="7" spans="1:15">
      <c r="A7">
        <v>4</v>
      </c>
      <c r="B7" s="8">
        <f t="shared" si="1"/>
        <v>3</v>
      </c>
      <c r="C7" s="8">
        <f t="shared" si="2"/>
        <v>1</v>
      </c>
      <c r="D7" s="8">
        <f t="shared" si="0"/>
        <v>0</v>
      </c>
      <c r="F7" s="11" t="s">
        <v>29</v>
      </c>
      <c r="G7" s="11"/>
      <c r="H7" s="11"/>
      <c r="I7" s="11"/>
      <c r="J7" s="11"/>
      <c r="K7" s="11"/>
      <c r="L7" s="12" t="s">
        <v>16</v>
      </c>
      <c r="M7" s="12"/>
      <c r="N7" s="12"/>
      <c r="O7" s="12"/>
    </row>
    <row r="8" spans="1:15">
      <c r="A8">
        <v>5</v>
      </c>
      <c r="B8" s="8">
        <f t="shared" si="1"/>
        <v>3</v>
      </c>
      <c r="C8" s="8">
        <f t="shared" si="2"/>
        <v>1</v>
      </c>
      <c r="D8" s="8">
        <f t="shared" si="0"/>
        <v>0</v>
      </c>
      <c r="F8" s="11" t="s">
        <v>17</v>
      </c>
      <c r="G8" s="11"/>
      <c r="H8" s="11"/>
      <c r="I8" s="11"/>
      <c r="J8" s="11"/>
      <c r="K8" s="11"/>
      <c r="L8" s="12" t="s">
        <v>18</v>
      </c>
      <c r="M8" s="12"/>
      <c r="N8" s="12"/>
      <c r="O8" s="12"/>
    </row>
    <row r="9" spans="1:15">
      <c r="A9">
        <v>6</v>
      </c>
      <c r="B9" s="8">
        <f t="shared" si="1"/>
        <v>4</v>
      </c>
      <c r="C9" s="8">
        <f t="shared" si="2"/>
        <v>1</v>
      </c>
      <c r="D9" s="8">
        <f t="shared" si="0"/>
        <v>0</v>
      </c>
      <c r="F9" s="11" t="s">
        <v>19</v>
      </c>
      <c r="G9" s="11"/>
      <c r="H9" s="11"/>
      <c r="I9" s="11"/>
      <c r="J9" s="11"/>
      <c r="K9" s="11"/>
      <c r="L9" s="12" t="s">
        <v>18</v>
      </c>
      <c r="M9" s="12"/>
      <c r="N9" s="12"/>
      <c r="O9" s="12"/>
    </row>
    <row r="10" spans="1:15">
      <c r="A10">
        <v>7</v>
      </c>
      <c r="B10" s="8">
        <f t="shared" si="1"/>
        <v>4</v>
      </c>
      <c r="C10" s="8">
        <f t="shared" si="2"/>
        <v>1</v>
      </c>
      <c r="D10" s="8">
        <f t="shared" si="0"/>
        <v>0</v>
      </c>
    </row>
    <row r="11" spans="1:15">
      <c r="A11">
        <v>8</v>
      </c>
      <c r="B11" s="8">
        <f t="shared" si="1"/>
        <v>4</v>
      </c>
      <c r="C11" s="8">
        <f t="shared" si="2"/>
        <v>1</v>
      </c>
      <c r="D11" s="8">
        <f t="shared" si="0"/>
        <v>0</v>
      </c>
    </row>
    <row r="12" spans="1:15">
      <c r="A12">
        <v>9</v>
      </c>
      <c r="B12" s="8">
        <f t="shared" si="1"/>
        <v>4</v>
      </c>
      <c r="C12" s="8">
        <f t="shared" si="2"/>
        <v>1</v>
      </c>
      <c r="D12" s="8">
        <f t="shared" si="0"/>
        <v>0</v>
      </c>
    </row>
    <row r="13" spans="1:15">
      <c r="A13">
        <v>10</v>
      </c>
      <c r="B13" s="8">
        <f t="shared" si="1"/>
        <v>4</v>
      </c>
      <c r="C13" s="8">
        <f t="shared" si="2"/>
        <v>1</v>
      </c>
      <c r="D13" s="8">
        <f t="shared" si="0"/>
        <v>0</v>
      </c>
    </row>
    <row r="14" spans="1:15">
      <c r="A14">
        <v>11</v>
      </c>
      <c r="B14" s="8">
        <f t="shared" si="1"/>
        <v>4</v>
      </c>
      <c r="C14" s="8">
        <f t="shared" si="2"/>
        <v>1</v>
      </c>
      <c r="D14" s="8">
        <f t="shared" si="0"/>
        <v>0</v>
      </c>
    </row>
    <row r="15" spans="1:15">
      <c r="A15">
        <v>12</v>
      </c>
      <c r="B15" s="8">
        <f t="shared" si="1"/>
        <v>4</v>
      </c>
      <c r="C15" s="8">
        <f t="shared" si="2"/>
        <v>2</v>
      </c>
      <c r="D15" s="8">
        <f t="shared" si="0"/>
        <v>1</v>
      </c>
    </row>
    <row r="16" spans="1:15">
      <c r="A16">
        <v>13</v>
      </c>
      <c r="B16" s="8">
        <f t="shared" si="1"/>
        <v>4</v>
      </c>
      <c r="C16" s="8">
        <f t="shared" si="2"/>
        <v>2</v>
      </c>
      <c r="D16" s="8">
        <f t="shared" si="0"/>
        <v>1</v>
      </c>
    </row>
    <row r="17" spans="1:4">
      <c r="A17">
        <v>14</v>
      </c>
      <c r="B17" s="8">
        <f t="shared" si="1"/>
        <v>4</v>
      </c>
      <c r="C17" s="8">
        <f t="shared" si="2"/>
        <v>2</v>
      </c>
      <c r="D17" s="8">
        <f t="shared" si="0"/>
        <v>1</v>
      </c>
    </row>
    <row r="18" spans="1:4">
      <c r="A18">
        <v>15</v>
      </c>
      <c r="B18" s="8">
        <f t="shared" si="1"/>
        <v>5</v>
      </c>
      <c r="C18" s="8">
        <f t="shared" si="2"/>
        <v>2</v>
      </c>
      <c r="D18" s="8">
        <f t="shared" si="0"/>
        <v>1</v>
      </c>
    </row>
    <row r="19" spans="1:4">
      <c r="A19">
        <v>16</v>
      </c>
      <c r="B19" s="8">
        <f t="shared" si="1"/>
        <v>5</v>
      </c>
      <c r="C19" s="8">
        <f t="shared" si="2"/>
        <v>2</v>
      </c>
      <c r="D19" s="8">
        <f t="shared" si="0"/>
        <v>1</v>
      </c>
    </row>
    <row r="20" spans="1:4">
      <c r="A20">
        <v>17</v>
      </c>
      <c r="B20" s="8">
        <f t="shared" si="1"/>
        <v>5</v>
      </c>
      <c r="C20" s="8">
        <f t="shared" si="2"/>
        <v>2</v>
      </c>
      <c r="D20" s="8">
        <f t="shared" si="0"/>
        <v>1</v>
      </c>
    </row>
    <row r="21" spans="1:4">
      <c r="A21">
        <v>18</v>
      </c>
      <c r="B21" s="8">
        <f t="shared" si="1"/>
        <v>5</v>
      </c>
      <c r="C21" s="8">
        <f t="shared" si="2"/>
        <v>2</v>
      </c>
      <c r="D21" s="8">
        <f t="shared" si="0"/>
        <v>1</v>
      </c>
    </row>
    <row r="22" spans="1:4">
      <c r="A22">
        <v>19</v>
      </c>
      <c r="B22" s="8">
        <f t="shared" si="1"/>
        <v>5</v>
      </c>
      <c r="C22" s="8">
        <f t="shared" si="2"/>
        <v>2</v>
      </c>
      <c r="D22" s="8">
        <f t="shared" si="0"/>
        <v>1</v>
      </c>
    </row>
    <row r="23" spans="1:4">
      <c r="A23">
        <v>20</v>
      </c>
      <c r="B23" s="8">
        <f t="shared" si="1"/>
        <v>5</v>
      </c>
      <c r="C23" s="8">
        <f t="shared" si="2"/>
        <v>2</v>
      </c>
      <c r="D23" s="8">
        <f t="shared" si="0"/>
        <v>1</v>
      </c>
    </row>
    <row r="24" spans="1:4">
      <c r="A24">
        <v>21</v>
      </c>
      <c r="B24" s="8">
        <f t="shared" si="1"/>
        <v>5</v>
      </c>
      <c r="C24" s="8">
        <f t="shared" si="2"/>
        <v>2</v>
      </c>
      <c r="D24" s="8">
        <f t="shared" si="0"/>
        <v>1</v>
      </c>
    </row>
    <row r="25" spans="1:4">
      <c r="A25">
        <v>22</v>
      </c>
      <c r="B25" s="8">
        <f t="shared" si="1"/>
        <v>6</v>
      </c>
      <c r="C25" s="8">
        <f t="shared" si="2"/>
        <v>2</v>
      </c>
      <c r="D25" s="8">
        <f t="shared" si="0"/>
        <v>1</v>
      </c>
    </row>
    <row r="26" spans="1:4">
      <c r="A26">
        <v>23</v>
      </c>
      <c r="B26" s="8">
        <f t="shared" si="1"/>
        <v>6</v>
      </c>
      <c r="C26" s="8">
        <f t="shared" si="2"/>
        <v>2</v>
      </c>
      <c r="D26" s="8">
        <f t="shared" si="0"/>
        <v>1</v>
      </c>
    </row>
    <row r="27" spans="1:4">
      <c r="A27">
        <v>24</v>
      </c>
      <c r="B27" s="8">
        <f t="shared" si="1"/>
        <v>6</v>
      </c>
      <c r="C27" s="8">
        <f t="shared" si="2"/>
        <v>2</v>
      </c>
      <c r="D27" s="8">
        <f t="shared" si="0"/>
        <v>1</v>
      </c>
    </row>
    <row r="28" spans="1:4">
      <c r="A28">
        <v>25</v>
      </c>
      <c r="B28" s="8">
        <f t="shared" si="1"/>
        <v>6</v>
      </c>
      <c r="C28" s="8">
        <f t="shared" si="2"/>
        <v>2</v>
      </c>
      <c r="D28" s="8">
        <f t="shared" si="0"/>
        <v>1</v>
      </c>
    </row>
    <row r="29" spans="1:4">
      <c r="A29">
        <v>26</v>
      </c>
      <c r="B29" s="8">
        <f t="shared" si="1"/>
        <v>6</v>
      </c>
      <c r="C29" s="8">
        <f t="shared" si="2"/>
        <v>2</v>
      </c>
      <c r="D29" s="8">
        <f t="shared" si="0"/>
        <v>1</v>
      </c>
    </row>
    <row r="30" spans="1:4">
      <c r="A30">
        <v>27</v>
      </c>
      <c r="B30" s="8">
        <f t="shared" si="1"/>
        <v>6</v>
      </c>
      <c r="C30" s="8">
        <f t="shared" si="2"/>
        <v>2</v>
      </c>
      <c r="D30" s="8">
        <f t="shared" si="0"/>
        <v>1</v>
      </c>
    </row>
    <row r="31" spans="1:4">
      <c r="A31">
        <v>28</v>
      </c>
      <c r="B31" s="8">
        <f t="shared" si="1"/>
        <v>7</v>
      </c>
      <c r="C31" s="8">
        <f t="shared" si="2"/>
        <v>3</v>
      </c>
      <c r="D31" s="8">
        <f t="shared" si="0"/>
        <v>2</v>
      </c>
    </row>
    <row r="32" spans="1:4">
      <c r="A32">
        <v>29</v>
      </c>
      <c r="B32" s="8">
        <f t="shared" si="1"/>
        <v>7</v>
      </c>
      <c r="C32" s="8">
        <f t="shared" si="2"/>
        <v>3</v>
      </c>
      <c r="D32" s="8">
        <f t="shared" si="0"/>
        <v>2</v>
      </c>
    </row>
    <row r="33" spans="1:9">
      <c r="A33">
        <v>30</v>
      </c>
      <c r="B33" s="8">
        <f t="shared" si="1"/>
        <v>7</v>
      </c>
      <c r="C33" s="8">
        <f t="shared" si="2"/>
        <v>3</v>
      </c>
      <c r="D33" s="8">
        <f t="shared" si="0"/>
        <v>2</v>
      </c>
    </row>
    <row r="34" spans="1:9">
      <c r="A34">
        <v>31</v>
      </c>
      <c r="B34" s="8">
        <f t="shared" si="1"/>
        <v>7</v>
      </c>
      <c r="C34" s="8">
        <f t="shared" si="2"/>
        <v>3</v>
      </c>
      <c r="D34" s="8">
        <f t="shared" si="0"/>
        <v>2</v>
      </c>
    </row>
    <row r="35" spans="1:9">
      <c r="A35">
        <v>32</v>
      </c>
      <c r="B35" s="8">
        <f t="shared" si="1"/>
        <v>7</v>
      </c>
      <c r="C35" s="8">
        <f t="shared" si="2"/>
        <v>3</v>
      </c>
      <c r="D35" s="8">
        <f t="shared" si="0"/>
        <v>2</v>
      </c>
    </row>
    <row r="36" spans="1:9">
      <c r="A36">
        <v>33</v>
      </c>
      <c r="B36" s="8">
        <f t="shared" si="1"/>
        <v>8</v>
      </c>
      <c r="C36" s="8">
        <f t="shared" si="2"/>
        <v>3</v>
      </c>
      <c r="D36" s="8">
        <f t="shared" si="0"/>
        <v>2</v>
      </c>
    </row>
    <row r="37" spans="1:9">
      <c r="A37">
        <v>34</v>
      </c>
      <c r="B37" s="8">
        <f t="shared" si="1"/>
        <v>8</v>
      </c>
      <c r="C37" s="8">
        <f t="shared" si="2"/>
        <v>3</v>
      </c>
      <c r="D37" s="8">
        <f t="shared" si="0"/>
        <v>2</v>
      </c>
    </row>
    <row r="38" spans="1:9">
      <c r="A38">
        <v>35</v>
      </c>
      <c r="B38" s="8">
        <f t="shared" si="1"/>
        <v>8</v>
      </c>
      <c r="C38" s="8">
        <f t="shared" si="2"/>
        <v>3</v>
      </c>
      <c r="D38" s="8">
        <f t="shared" si="0"/>
        <v>2</v>
      </c>
    </row>
    <row r="39" spans="1:9">
      <c r="A39">
        <v>36</v>
      </c>
      <c r="B39" s="8">
        <f t="shared" si="1"/>
        <v>8</v>
      </c>
      <c r="C39" s="8">
        <f t="shared" si="2"/>
        <v>3</v>
      </c>
      <c r="D39" s="8">
        <f t="shared" si="0"/>
        <v>2</v>
      </c>
    </row>
    <row r="40" spans="1:9">
      <c r="A40">
        <v>37</v>
      </c>
      <c r="B40" s="8">
        <f t="shared" si="1"/>
        <v>9</v>
      </c>
      <c r="C40" s="8">
        <f t="shared" si="2"/>
        <v>3</v>
      </c>
      <c r="D40" s="8">
        <f t="shared" si="0"/>
        <v>2</v>
      </c>
    </row>
    <row r="41" spans="1:9">
      <c r="A41">
        <v>38</v>
      </c>
      <c r="B41" s="8">
        <f t="shared" si="1"/>
        <v>9</v>
      </c>
      <c r="C41" s="8">
        <f t="shared" si="2"/>
        <v>4</v>
      </c>
      <c r="D41" s="8">
        <f t="shared" si="0"/>
        <v>3</v>
      </c>
      <c r="F41" s="13" t="s">
        <v>20</v>
      </c>
      <c r="G41" s="13"/>
      <c r="H41" s="13"/>
      <c r="I41" s="13"/>
    </row>
    <row r="42" spans="1:9">
      <c r="A42">
        <v>39</v>
      </c>
      <c r="B42" s="8">
        <f t="shared" si="1"/>
        <v>9</v>
      </c>
      <c r="C42" s="8">
        <f t="shared" si="2"/>
        <v>4</v>
      </c>
      <c r="D42" s="8">
        <f t="shared" si="0"/>
        <v>3</v>
      </c>
      <c r="F42" s="13" t="s">
        <v>21</v>
      </c>
      <c r="G42" s="13"/>
      <c r="H42" s="13"/>
      <c r="I42" s="13"/>
    </row>
    <row r="43" spans="1:9" ht="15">
      <c r="A43">
        <v>40</v>
      </c>
      <c r="B43" s="8">
        <f t="shared" si="1"/>
        <v>9</v>
      </c>
      <c r="C43" s="8">
        <f t="shared" si="2"/>
        <v>4</v>
      </c>
      <c r="D43" s="8">
        <f t="shared" si="0"/>
        <v>3</v>
      </c>
      <c r="F43" s="9" t="s">
        <v>22</v>
      </c>
      <c r="G43" s="9" t="s">
        <v>0</v>
      </c>
      <c r="H43" s="9" t="s">
        <v>5</v>
      </c>
      <c r="I43" s="9" t="s">
        <v>7</v>
      </c>
    </row>
    <row r="44" spans="1:9">
      <c r="A44">
        <v>41</v>
      </c>
      <c r="B44" s="8">
        <f t="shared" si="1"/>
        <v>10</v>
      </c>
      <c r="C44" s="8">
        <f t="shared" si="2"/>
        <v>4</v>
      </c>
      <c r="D44" s="8">
        <f t="shared" si="0"/>
        <v>3</v>
      </c>
      <c r="F44" s="10" t="s">
        <v>23</v>
      </c>
      <c r="G44" s="10">
        <v>255</v>
      </c>
      <c r="H44" s="10">
        <v>4</v>
      </c>
      <c r="I44" s="10">
        <v>4</v>
      </c>
    </row>
    <row r="45" spans="1:9">
      <c r="A45">
        <v>42</v>
      </c>
      <c r="B45" s="8">
        <f t="shared" si="1"/>
        <v>10</v>
      </c>
      <c r="C45" s="8">
        <f t="shared" si="2"/>
        <v>4</v>
      </c>
      <c r="D45" s="8">
        <f t="shared" si="0"/>
        <v>3</v>
      </c>
      <c r="F45" s="10" t="s">
        <v>24</v>
      </c>
      <c r="G45" s="10">
        <v>255</v>
      </c>
      <c r="H45" s="10">
        <v>8</v>
      </c>
      <c r="I45" s="10">
        <v>2</v>
      </c>
    </row>
    <row r="46" spans="1:9">
      <c r="A46">
        <v>43</v>
      </c>
      <c r="B46" s="8">
        <f t="shared" si="1"/>
        <v>10</v>
      </c>
      <c r="C46" s="8">
        <f t="shared" si="2"/>
        <v>4</v>
      </c>
      <c r="D46" s="8">
        <f t="shared" si="0"/>
        <v>3</v>
      </c>
      <c r="F46" s="10" t="s">
        <v>25</v>
      </c>
      <c r="G46" s="10">
        <v>255</v>
      </c>
      <c r="H46" s="10">
        <v>16</v>
      </c>
      <c r="I46" s="10">
        <v>1.4350000000000001</v>
      </c>
    </row>
    <row r="47" spans="1:9">
      <c r="A47">
        <v>44</v>
      </c>
      <c r="B47" s="8">
        <f t="shared" si="1"/>
        <v>10</v>
      </c>
      <c r="C47" s="8">
        <f t="shared" si="2"/>
        <v>4</v>
      </c>
      <c r="D47" s="8">
        <f t="shared" si="0"/>
        <v>3</v>
      </c>
      <c r="F47" s="10" t="s">
        <v>26</v>
      </c>
      <c r="G47" s="10">
        <v>255</v>
      </c>
      <c r="H47" s="10">
        <v>32</v>
      </c>
      <c r="I47" s="10">
        <v>1.21</v>
      </c>
    </row>
    <row r="48" spans="1:9">
      <c r="A48">
        <v>45</v>
      </c>
      <c r="B48" s="8">
        <f t="shared" si="1"/>
        <v>11</v>
      </c>
      <c r="C48" s="8">
        <f t="shared" si="2"/>
        <v>4</v>
      </c>
      <c r="D48" s="8">
        <f t="shared" si="0"/>
        <v>3</v>
      </c>
      <c r="F48" s="10" t="s">
        <v>27</v>
      </c>
      <c r="G48" s="10">
        <v>1023</v>
      </c>
      <c r="H48" s="10">
        <v>64</v>
      </c>
      <c r="I48" s="10">
        <v>1.115</v>
      </c>
    </row>
    <row r="49" spans="1:9">
      <c r="A49">
        <v>46</v>
      </c>
      <c r="B49" s="8">
        <f t="shared" si="1"/>
        <v>11</v>
      </c>
      <c r="C49" s="8">
        <f t="shared" si="2"/>
        <v>5</v>
      </c>
      <c r="D49" s="8">
        <f t="shared" si="0"/>
        <v>4</v>
      </c>
      <c r="F49" s="10" t="s">
        <v>28</v>
      </c>
      <c r="G49" s="10">
        <v>65535</v>
      </c>
      <c r="H49" s="10">
        <v>256</v>
      </c>
      <c r="I49" s="10">
        <v>1.04427</v>
      </c>
    </row>
    <row r="50" spans="1:9">
      <c r="A50">
        <v>47</v>
      </c>
      <c r="B50" s="8">
        <f t="shared" si="1"/>
        <v>11</v>
      </c>
      <c r="C50" s="8">
        <f t="shared" si="2"/>
        <v>5</v>
      </c>
      <c r="D50" s="8">
        <f t="shared" si="0"/>
        <v>4</v>
      </c>
    </row>
    <row r="51" spans="1:9">
      <c r="A51">
        <v>48</v>
      </c>
      <c r="B51" s="8">
        <f t="shared" si="1"/>
        <v>12</v>
      </c>
      <c r="C51" s="8">
        <f t="shared" si="2"/>
        <v>5</v>
      </c>
      <c r="D51" s="8">
        <f t="shared" si="0"/>
        <v>4</v>
      </c>
    </row>
    <row r="52" spans="1:9">
      <c r="A52">
        <v>49</v>
      </c>
      <c r="B52" s="8">
        <f t="shared" si="1"/>
        <v>12</v>
      </c>
      <c r="C52" s="8">
        <f t="shared" si="2"/>
        <v>5</v>
      </c>
      <c r="D52" s="8">
        <f t="shared" si="0"/>
        <v>4</v>
      </c>
    </row>
    <row r="53" spans="1:9">
      <c r="A53">
        <v>50</v>
      </c>
      <c r="B53" s="8">
        <f t="shared" si="1"/>
        <v>12</v>
      </c>
      <c r="C53" s="8">
        <f t="shared" si="2"/>
        <v>5</v>
      </c>
      <c r="D53" s="8">
        <f t="shared" si="0"/>
        <v>4</v>
      </c>
    </row>
    <row r="54" spans="1:9">
      <c r="A54">
        <v>51</v>
      </c>
      <c r="B54" s="8">
        <f t="shared" si="1"/>
        <v>13</v>
      </c>
      <c r="C54" s="8">
        <f t="shared" si="2"/>
        <v>5</v>
      </c>
      <c r="D54" s="8">
        <f t="shared" si="0"/>
        <v>4</v>
      </c>
    </row>
    <row r="55" spans="1:9">
      <c r="A55">
        <v>52</v>
      </c>
      <c r="B55" s="8">
        <f t="shared" si="1"/>
        <v>13</v>
      </c>
      <c r="C55" s="8">
        <f t="shared" si="2"/>
        <v>6</v>
      </c>
      <c r="D55" s="8">
        <f t="shared" si="0"/>
        <v>5</v>
      </c>
    </row>
    <row r="56" spans="1:9">
      <c r="A56">
        <v>53</v>
      </c>
      <c r="B56" s="8">
        <f t="shared" si="1"/>
        <v>13</v>
      </c>
      <c r="C56" s="8">
        <f t="shared" si="2"/>
        <v>6</v>
      </c>
      <c r="D56" s="8">
        <f t="shared" si="0"/>
        <v>5</v>
      </c>
    </row>
    <row r="57" spans="1:9">
      <c r="A57">
        <v>54</v>
      </c>
      <c r="B57" s="8">
        <f t="shared" si="1"/>
        <v>14</v>
      </c>
      <c r="C57" s="8">
        <f t="shared" si="2"/>
        <v>6</v>
      </c>
      <c r="D57" s="8">
        <f t="shared" si="0"/>
        <v>5</v>
      </c>
    </row>
    <row r="58" spans="1:9">
      <c r="A58">
        <v>55</v>
      </c>
      <c r="B58" s="8">
        <f t="shared" si="1"/>
        <v>14</v>
      </c>
      <c r="C58" s="8">
        <f t="shared" si="2"/>
        <v>6</v>
      </c>
      <c r="D58" s="8">
        <f t="shared" si="0"/>
        <v>5</v>
      </c>
    </row>
    <row r="59" spans="1:9">
      <c r="A59">
        <v>56</v>
      </c>
      <c r="B59" s="8">
        <f t="shared" si="1"/>
        <v>15</v>
      </c>
      <c r="C59" s="8">
        <f t="shared" si="2"/>
        <v>6</v>
      </c>
      <c r="D59" s="8">
        <f t="shared" si="0"/>
        <v>5</v>
      </c>
    </row>
    <row r="60" spans="1:9">
      <c r="A60">
        <v>57</v>
      </c>
      <c r="B60" s="8">
        <f t="shared" si="1"/>
        <v>15</v>
      </c>
      <c r="C60" s="8">
        <f t="shared" si="2"/>
        <v>7</v>
      </c>
      <c r="D60" s="8">
        <f t="shared" si="0"/>
        <v>6</v>
      </c>
    </row>
    <row r="61" spans="1:9">
      <c r="A61">
        <v>58</v>
      </c>
      <c r="B61" s="8">
        <f t="shared" si="1"/>
        <v>15</v>
      </c>
      <c r="C61" s="8">
        <f t="shared" si="2"/>
        <v>7</v>
      </c>
      <c r="D61" s="8">
        <f t="shared" si="0"/>
        <v>6</v>
      </c>
    </row>
    <row r="62" spans="1:9">
      <c r="A62">
        <v>59</v>
      </c>
      <c r="B62" s="8">
        <f t="shared" si="1"/>
        <v>16</v>
      </c>
      <c r="C62" s="8">
        <f t="shared" si="2"/>
        <v>7</v>
      </c>
      <c r="D62" s="8">
        <f t="shared" si="0"/>
        <v>6</v>
      </c>
    </row>
    <row r="63" spans="1:9">
      <c r="A63">
        <v>60</v>
      </c>
      <c r="B63" s="8">
        <f t="shared" si="1"/>
        <v>16</v>
      </c>
      <c r="C63" s="8">
        <f t="shared" si="2"/>
        <v>7</v>
      </c>
      <c r="D63" s="8">
        <f t="shared" si="0"/>
        <v>6</v>
      </c>
    </row>
    <row r="64" spans="1:9">
      <c r="A64">
        <v>61</v>
      </c>
      <c r="B64" s="8">
        <f t="shared" si="1"/>
        <v>17</v>
      </c>
      <c r="C64" s="8">
        <f t="shared" si="2"/>
        <v>7</v>
      </c>
      <c r="D64" s="8">
        <f t="shared" si="0"/>
        <v>6</v>
      </c>
    </row>
    <row r="65" spans="1:4">
      <c r="A65">
        <v>62</v>
      </c>
      <c r="B65" s="8">
        <f t="shared" si="1"/>
        <v>17</v>
      </c>
      <c r="C65" s="8">
        <f t="shared" si="2"/>
        <v>8</v>
      </c>
      <c r="D65" s="8">
        <f t="shared" si="0"/>
        <v>7</v>
      </c>
    </row>
    <row r="66" spans="1:4">
      <c r="A66">
        <v>63</v>
      </c>
      <c r="B66" s="8">
        <f t="shared" si="1"/>
        <v>18</v>
      </c>
      <c r="C66" s="8">
        <f t="shared" si="2"/>
        <v>8</v>
      </c>
      <c r="D66" s="8">
        <f t="shared" si="0"/>
        <v>7</v>
      </c>
    </row>
    <row r="67" spans="1:4">
      <c r="A67">
        <v>64</v>
      </c>
      <c r="B67" s="8">
        <f t="shared" si="1"/>
        <v>18</v>
      </c>
      <c r="C67" s="8">
        <f t="shared" si="2"/>
        <v>8</v>
      </c>
      <c r="D67" s="8">
        <f t="shared" ref="D67:D130" si="3">ROUND(2^($G$5*($A67+1)/$G$2)-1,0)</f>
        <v>7</v>
      </c>
    </row>
    <row r="68" spans="1:4">
      <c r="A68">
        <v>65</v>
      </c>
      <c r="B68" s="8">
        <f t="shared" ref="B68:B131" si="4">ROUND($G$3*POWER($G$6,A68),0)</f>
        <v>19</v>
      </c>
      <c r="C68" s="8">
        <f t="shared" si="2"/>
        <v>9</v>
      </c>
      <c r="D68" s="8">
        <f t="shared" si="3"/>
        <v>8</v>
      </c>
    </row>
    <row r="69" spans="1:4">
      <c r="A69">
        <v>66</v>
      </c>
      <c r="B69" s="8">
        <f t="shared" si="4"/>
        <v>19</v>
      </c>
      <c r="C69" s="8">
        <f t="shared" ref="C69:C132" si="5">ROUND(2^($G$4*($A69+1)/$G$2),0)</f>
        <v>9</v>
      </c>
      <c r="D69" s="8">
        <f t="shared" si="3"/>
        <v>8</v>
      </c>
    </row>
    <row r="70" spans="1:4">
      <c r="A70">
        <v>67</v>
      </c>
      <c r="B70" s="8">
        <f t="shared" si="4"/>
        <v>20</v>
      </c>
      <c r="C70" s="8">
        <f t="shared" si="5"/>
        <v>9</v>
      </c>
      <c r="D70" s="8">
        <f t="shared" si="3"/>
        <v>8</v>
      </c>
    </row>
    <row r="71" spans="1:4">
      <c r="A71">
        <v>68</v>
      </c>
      <c r="B71" s="8">
        <f t="shared" si="4"/>
        <v>21</v>
      </c>
      <c r="C71" s="8">
        <f t="shared" si="5"/>
        <v>9</v>
      </c>
      <c r="D71" s="8">
        <f t="shared" si="3"/>
        <v>8</v>
      </c>
    </row>
    <row r="72" spans="1:4">
      <c r="A72">
        <v>69</v>
      </c>
      <c r="B72" s="8">
        <f t="shared" si="4"/>
        <v>21</v>
      </c>
      <c r="C72" s="8">
        <f t="shared" si="5"/>
        <v>10</v>
      </c>
      <c r="D72" s="8">
        <f t="shared" si="3"/>
        <v>9</v>
      </c>
    </row>
    <row r="73" spans="1:4">
      <c r="A73">
        <v>70</v>
      </c>
      <c r="B73" s="8">
        <f t="shared" si="4"/>
        <v>22</v>
      </c>
      <c r="C73" s="8">
        <f t="shared" si="5"/>
        <v>10</v>
      </c>
      <c r="D73" s="8">
        <f t="shared" si="3"/>
        <v>9</v>
      </c>
    </row>
    <row r="74" spans="1:4">
      <c r="A74">
        <v>71</v>
      </c>
      <c r="B74" s="8">
        <f t="shared" si="4"/>
        <v>22</v>
      </c>
      <c r="C74" s="8">
        <f t="shared" si="5"/>
        <v>10</v>
      </c>
      <c r="D74" s="8">
        <f t="shared" si="3"/>
        <v>9</v>
      </c>
    </row>
    <row r="75" spans="1:4">
      <c r="A75">
        <v>72</v>
      </c>
      <c r="B75" s="8">
        <f t="shared" si="4"/>
        <v>23</v>
      </c>
      <c r="C75" s="8">
        <f t="shared" si="5"/>
        <v>11</v>
      </c>
      <c r="D75" s="8">
        <f t="shared" si="3"/>
        <v>10</v>
      </c>
    </row>
    <row r="76" spans="1:4">
      <c r="A76">
        <v>73</v>
      </c>
      <c r="B76" s="8">
        <f t="shared" si="4"/>
        <v>24</v>
      </c>
      <c r="C76" s="8">
        <f t="shared" si="5"/>
        <v>11</v>
      </c>
      <c r="D76" s="8">
        <f t="shared" si="3"/>
        <v>10</v>
      </c>
    </row>
    <row r="77" spans="1:4">
      <c r="A77">
        <v>74</v>
      </c>
      <c r="B77" s="8">
        <f t="shared" si="4"/>
        <v>24</v>
      </c>
      <c r="C77" s="8">
        <f t="shared" si="5"/>
        <v>11</v>
      </c>
      <c r="D77" s="8">
        <f t="shared" si="3"/>
        <v>10</v>
      </c>
    </row>
    <row r="78" spans="1:4">
      <c r="A78">
        <v>75</v>
      </c>
      <c r="B78" s="8">
        <f t="shared" si="4"/>
        <v>25</v>
      </c>
      <c r="C78" s="8">
        <f t="shared" si="5"/>
        <v>12</v>
      </c>
      <c r="D78" s="8">
        <f t="shared" si="3"/>
        <v>11</v>
      </c>
    </row>
    <row r="79" spans="1:4">
      <c r="A79">
        <v>76</v>
      </c>
      <c r="B79" s="8">
        <f t="shared" si="4"/>
        <v>26</v>
      </c>
      <c r="C79" s="8">
        <f t="shared" si="5"/>
        <v>12</v>
      </c>
      <c r="D79" s="8">
        <f t="shared" si="3"/>
        <v>11</v>
      </c>
    </row>
    <row r="80" spans="1:4">
      <c r="A80">
        <v>77</v>
      </c>
      <c r="B80" s="8">
        <f t="shared" si="4"/>
        <v>27</v>
      </c>
      <c r="C80" s="8">
        <f t="shared" si="5"/>
        <v>13</v>
      </c>
      <c r="D80" s="8">
        <f t="shared" si="3"/>
        <v>12</v>
      </c>
    </row>
    <row r="81" spans="1:4">
      <c r="A81">
        <v>78</v>
      </c>
      <c r="B81" s="8">
        <f t="shared" si="4"/>
        <v>27</v>
      </c>
      <c r="C81" s="8">
        <f t="shared" si="5"/>
        <v>13</v>
      </c>
      <c r="D81" s="8">
        <f t="shared" si="3"/>
        <v>12</v>
      </c>
    </row>
    <row r="82" spans="1:4">
      <c r="A82">
        <v>79</v>
      </c>
      <c r="B82" s="8">
        <f t="shared" si="4"/>
        <v>28</v>
      </c>
      <c r="C82" s="8">
        <f t="shared" si="5"/>
        <v>13</v>
      </c>
      <c r="D82" s="8">
        <f t="shared" si="3"/>
        <v>12</v>
      </c>
    </row>
    <row r="83" spans="1:4">
      <c r="A83">
        <v>80</v>
      </c>
      <c r="B83" s="8">
        <f t="shared" si="4"/>
        <v>29</v>
      </c>
      <c r="C83" s="8">
        <f t="shared" si="5"/>
        <v>14</v>
      </c>
      <c r="D83" s="8">
        <f t="shared" si="3"/>
        <v>13</v>
      </c>
    </row>
    <row r="84" spans="1:4">
      <c r="A84">
        <v>81</v>
      </c>
      <c r="B84" s="8">
        <f t="shared" si="4"/>
        <v>30</v>
      </c>
      <c r="C84" s="8">
        <f t="shared" si="5"/>
        <v>14</v>
      </c>
      <c r="D84" s="8">
        <f t="shared" si="3"/>
        <v>13</v>
      </c>
    </row>
    <row r="85" spans="1:4">
      <c r="A85">
        <v>82</v>
      </c>
      <c r="B85" s="8">
        <f t="shared" si="4"/>
        <v>31</v>
      </c>
      <c r="C85" s="8">
        <f t="shared" si="5"/>
        <v>15</v>
      </c>
      <c r="D85" s="8">
        <f t="shared" si="3"/>
        <v>14</v>
      </c>
    </row>
    <row r="86" spans="1:4">
      <c r="A86">
        <v>83</v>
      </c>
      <c r="B86" s="8">
        <f t="shared" si="4"/>
        <v>31</v>
      </c>
      <c r="C86" s="8">
        <f t="shared" si="5"/>
        <v>15</v>
      </c>
      <c r="D86" s="8">
        <f t="shared" si="3"/>
        <v>14</v>
      </c>
    </row>
    <row r="87" spans="1:4">
      <c r="A87">
        <v>84</v>
      </c>
      <c r="B87" s="8">
        <f t="shared" si="4"/>
        <v>32</v>
      </c>
      <c r="C87" s="8">
        <f t="shared" si="5"/>
        <v>16</v>
      </c>
      <c r="D87" s="8">
        <f t="shared" si="3"/>
        <v>15</v>
      </c>
    </row>
    <row r="88" spans="1:4">
      <c r="A88">
        <v>85</v>
      </c>
      <c r="B88" s="8">
        <f t="shared" si="4"/>
        <v>33</v>
      </c>
      <c r="C88" s="8">
        <f t="shared" si="5"/>
        <v>16</v>
      </c>
      <c r="D88" s="8">
        <f t="shared" si="3"/>
        <v>15</v>
      </c>
    </row>
    <row r="89" spans="1:4">
      <c r="A89">
        <v>86</v>
      </c>
      <c r="B89" s="8">
        <f t="shared" si="4"/>
        <v>34</v>
      </c>
      <c r="C89" s="8">
        <f t="shared" si="5"/>
        <v>17</v>
      </c>
      <c r="D89" s="8">
        <f t="shared" si="3"/>
        <v>16</v>
      </c>
    </row>
    <row r="90" spans="1:4">
      <c r="A90">
        <v>87</v>
      </c>
      <c r="B90" s="8">
        <f t="shared" si="4"/>
        <v>35</v>
      </c>
      <c r="C90" s="8">
        <f t="shared" si="5"/>
        <v>17</v>
      </c>
      <c r="D90" s="8">
        <f t="shared" si="3"/>
        <v>16</v>
      </c>
    </row>
    <row r="91" spans="1:4">
      <c r="A91">
        <v>88</v>
      </c>
      <c r="B91" s="8">
        <f t="shared" si="4"/>
        <v>36</v>
      </c>
      <c r="C91" s="8">
        <f t="shared" si="5"/>
        <v>18</v>
      </c>
      <c r="D91" s="8">
        <f t="shared" si="3"/>
        <v>17</v>
      </c>
    </row>
    <row r="92" spans="1:4">
      <c r="A92">
        <v>89</v>
      </c>
      <c r="B92" s="8">
        <f t="shared" si="4"/>
        <v>37</v>
      </c>
      <c r="C92" s="8">
        <f t="shared" si="5"/>
        <v>19</v>
      </c>
      <c r="D92" s="8">
        <f t="shared" si="3"/>
        <v>18</v>
      </c>
    </row>
    <row r="93" spans="1:4">
      <c r="A93">
        <v>90</v>
      </c>
      <c r="B93" s="8">
        <f t="shared" si="4"/>
        <v>38</v>
      </c>
      <c r="C93" s="8">
        <f t="shared" si="5"/>
        <v>19</v>
      </c>
      <c r="D93" s="8">
        <f t="shared" si="3"/>
        <v>18</v>
      </c>
    </row>
    <row r="94" spans="1:4">
      <c r="A94">
        <v>91</v>
      </c>
      <c r="B94" s="8">
        <f t="shared" si="4"/>
        <v>39</v>
      </c>
      <c r="C94" s="8">
        <f t="shared" si="5"/>
        <v>20</v>
      </c>
      <c r="D94" s="8">
        <f t="shared" si="3"/>
        <v>19</v>
      </c>
    </row>
    <row r="95" spans="1:4">
      <c r="A95">
        <v>92</v>
      </c>
      <c r="B95" s="8">
        <f t="shared" si="4"/>
        <v>41</v>
      </c>
      <c r="C95" s="8">
        <f t="shared" si="5"/>
        <v>21</v>
      </c>
      <c r="D95" s="8">
        <f t="shared" si="3"/>
        <v>20</v>
      </c>
    </row>
    <row r="96" spans="1:4">
      <c r="A96">
        <v>93</v>
      </c>
      <c r="B96" s="8">
        <f t="shared" si="4"/>
        <v>42</v>
      </c>
      <c r="C96" s="8">
        <f t="shared" si="5"/>
        <v>21</v>
      </c>
      <c r="D96" s="8">
        <f t="shared" si="3"/>
        <v>20</v>
      </c>
    </row>
    <row r="97" spans="1:4">
      <c r="A97">
        <v>94</v>
      </c>
      <c r="B97" s="8">
        <f t="shared" si="4"/>
        <v>43</v>
      </c>
      <c r="C97" s="8">
        <f t="shared" si="5"/>
        <v>22</v>
      </c>
      <c r="D97" s="8">
        <f t="shared" si="3"/>
        <v>21</v>
      </c>
    </row>
    <row r="98" spans="1:4">
      <c r="A98">
        <v>95</v>
      </c>
      <c r="B98" s="8">
        <f t="shared" si="4"/>
        <v>44</v>
      </c>
      <c r="C98" s="8">
        <f t="shared" si="5"/>
        <v>23</v>
      </c>
      <c r="D98" s="8">
        <f t="shared" si="3"/>
        <v>22</v>
      </c>
    </row>
    <row r="99" spans="1:4">
      <c r="A99">
        <v>96</v>
      </c>
      <c r="B99" s="8">
        <f t="shared" si="4"/>
        <v>45</v>
      </c>
      <c r="C99" s="8">
        <f t="shared" si="5"/>
        <v>23</v>
      </c>
      <c r="D99" s="8">
        <f t="shared" si="3"/>
        <v>22</v>
      </c>
    </row>
    <row r="100" spans="1:4">
      <c r="A100">
        <v>97</v>
      </c>
      <c r="B100" s="8">
        <f t="shared" si="4"/>
        <v>47</v>
      </c>
      <c r="C100" s="8">
        <f t="shared" si="5"/>
        <v>24</v>
      </c>
      <c r="D100" s="8">
        <f t="shared" si="3"/>
        <v>23</v>
      </c>
    </row>
    <row r="101" spans="1:4">
      <c r="A101">
        <v>98</v>
      </c>
      <c r="B101" s="8">
        <f t="shared" si="4"/>
        <v>48</v>
      </c>
      <c r="C101" s="8">
        <f t="shared" si="5"/>
        <v>25</v>
      </c>
      <c r="D101" s="8">
        <f t="shared" si="3"/>
        <v>24</v>
      </c>
    </row>
    <row r="102" spans="1:4">
      <c r="A102">
        <v>99</v>
      </c>
      <c r="B102" s="8">
        <f t="shared" si="4"/>
        <v>49</v>
      </c>
      <c r="C102" s="8">
        <f t="shared" si="5"/>
        <v>26</v>
      </c>
      <c r="D102" s="8">
        <f t="shared" si="3"/>
        <v>25</v>
      </c>
    </row>
    <row r="103" spans="1:4">
      <c r="A103">
        <v>100</v>
      </c>
      <c r="B103" s="8">
        <f t="shared" si="4"/>
        <v>51</v>
      </c>
      <c r="C103" s="8">
        <f t="shared" si="5"/>
        <v>27</v>
      </c>
      <c r="D103" s="8">
        <f t="shared" si="3"/>
        <v>26</v>
      </c>
    </row>
    <row r="104" spans="1:4">
      <c r="A104">
        <v>101</v>
      </c>
      <c r="B104" s="8">
        <f t="shared" si="4"/>
        <v>52</v>
      </c>
      <c r="C104" s="8">
        <f t="shared" si="5"/>
        <v>27</v>
      </c>
      <c r="D104" s="8">
        <f t="shared" si="3"/>
        <v>26</v>
      </c>
    </row>
    <row r="105" spans="1:4">
      <c r="A105">
        <v>102</v>
      </c>
      <c r="B105" s="8">
        <f t="shared" si="4"/>
        <v>54</v>
      </c>
      <c r="C105" s="8">
        <f t="shared" si="5"/>
        <v>28</v>
      </c>
      <c r="D105" s="8">
        <f t="shared" si="3"/>
        <v>27</v>
      </c>
    </row>
    <row r="106" spans="1:4">
      <c r="A106">
        <v>103</v>
      </c>
      <c r="B106" s="8">
        <f t="shared" si="4"/>
        <v>55</v>
      </c>
      <c r="C106" s="8">
        <f t="shared" si="5"/>
        <v>29</v>
      </c>
      <c r="D106" s="8">
        <f t="shared" si="3"/>
        <v>28</v>
      </c>
    </row>
    <row r="107" spans="1:4">
      <c r="A107">
        <v>104</v>
      </c>
      <c r="B107" s="8">
        <f t="shared" si="4"/>
        <v>57</v>
      </c>
      <c r="C107" s="8">
        <f t="shared" si="5"/>
        <v>30</v>
      </c>
      <c r="D107" s="8">
        <f t="shared" si="3"/>
        <v>29</v>
      </c>
    </row>
    <row r="108" spans="1:4">
      <c r="A108">
        <v>105</v>
      </c>
      <c r="B108" s="8">
        <f t="shared" si="4"/>
        <v>59</v>
      </c>
      <c r="C108" s="8">
        <f t="shared" si="5"/>
        <v>31</v>
      </c>
      <c r="D108" s="8">
        <f t="shared" si="3"/>
        <v>30</v>
      </c>
    </row>
    <row r="109" spans="1:4">
      <c r="A109">
        <v>106</v>
      </c>
      <c r="B109" s="8">
        <f t="shared" si="4"/>
        <v>60</v>
      </c>
      <c r="C109" s="8">
        <f t="shared" si="5"/>
        <v>32</v>
      </c>
      <c r="D109" s="8">
        <f t="shared" si="3"/>
        <v>31</v>
      </c>
    </row>
    <row r="110" spans="1:4">
      <c r="A110">
        <v>107</v>
      </c>
      <c r="B110" s="8">
        <f t="shared" si="4"/>
        <v>62</v>
      </c>
      <c r="C110" s="8">
        <f t="shared" si="5"/>
        <v>33</v>
      </c>
      <c r="D110" s="8">
        <f t="shared" si="3"/>
        <v>32</v>
      </c>
    </row>
    <row r="111" spans="1:4">
      <c r="A111">
        <v>108</v>
      </c>
      <c r="B111" s="8">
        <f t="shared" si="4"/>
        <v>64</v>
      </c>
      <c r="C111" s="8">
        <f t="shared" si="5"/>
        <v>35</v>
      </c>
      <c r="D111" s="8">
        <f t="shared" si="3"/>
        <v>34</v>
      </c>
    </row>
    <row r="112" spans="1:4">
      <c r="A112">
        <v>109</v>
      </c>
      <c r="B112" s="8">
        <f t="shared" si="4"/>
        <v>66</v>
      </c>
      <c r="C112" s="8">
        <f t="shared" si="5"/>
        <v>36</v>
      </c>
      <c r="D112" s="8">
        <f t="shared" si="3"/>
        <v>35</v>
      </c>
    </row>
    <row r="113" spans="1:4">
      <c r="A113">
        <v>110</v>
      </c>
      <c r="B113" s="8">
        <f t="shared" si="4"/>
        <v>68</v>
      </c>
      <c r="C113" s="8">
        <f t="shared" si="5"/>
        <v>37</v>
      </c>
      <c r="D113" s="8">
        <f t="shared" si="3"/>
        <v>36</v>
      </c>
    </row>
    <row r="114" spans="1:4">
      <c r="A114">
        <v>111</v>
      </c>
      <c r="B114" s="8">
        <f t="shared" si="4"/>
        <v>69</v>
      </c>
      <c r="C114" s="8">
        <f t="shared" si="5"/>
        <v>38</v>
      </c>
      <c r="D114" s="8">
        <f t="shared" si="3"/>
        <v>37</v>
      </c>
    </row>
    <row r="115" spans="1:4">
      <c r="A115">
        <v>112</v>
      </c>
      <c r="B115" s="8">
        <f t="shared" si="4"/>
        <v>71</v>
      </c>
      <c r="C115" s="8">
        <f t="shared" si="5"/>
        <v>39</v>
      </c>
      <c r="D115" s="8">
        <f t="shared" si="3"/>
        <v>38</v>
      </c>
    </row>
    <row r="116" spans="1:4">
      <c r="A116">
        <v>113</v>
      </c>
      <c r="B116" s="8">
        <f t="shared" si="4"/>
        <v>74</v>
      </c>
      <c r="C116" s="8">
        <f t="shared" si="5"/>
        <v>41</v>
      </c>
      <c r="D116" s="8">
        <f t="shared" si="3"/>
        <v>40</v>
      </c>
    </row>
    <row r="117" spans="1:4">
      <c r="A117">
        <v>114</v>
      </c>
      <c r="B117" s="8">
        <f t="shared" si="4"/>
        <v>76</v>
      </c>
      <c r="C117" s="8">
        <f t="shared" si="5"/>
        <v>42</v>
      </c>
      <c r="D117" s="8">
        <f t="shared" si="3"/>
        <v>41</v>
      </c>
    </row>
    <row r="118" spans="1:4">
      <c r="A118">
        <v>115</v>
      </c>
      <c r="B118" s="8">
        <f t="shared" si="4"/>
        <v>78</v>
      </c>
      <c r="C118" s="8">
        <f t="shared" si="5"/>
        <v>43</v>
      </c>
      <c r="D118" s="8">
        <f t="shared" si="3"/>
        <v>42</v>
      </c>
    </row>
    <row r="119" spans="1:4">
      <c r="A119">
        <v>116</v>
      </c>
      <c r="B119" s="8">
        <f t="shared" si="4"/>
        <v>80</v>
      </c>
      <c r="C119" s="8">
        <f t="shared" si="5"/>
        <v>45</v>
      </c>
      <c r="D119" s="8">
        <f t="shared" si="3"/>
        <v>44</v>
      </c>
    </row>
    <row r="120" spans="1:4">
      <c r="A120">
        <v>117</v>
      </c>
      <c r="B120" s="8">
        <f t="shared" si="4"/>
        <v>82</v>
      </c>
      <c r="C120" s="8">
        <f t="shared" si="5"/>
        <v>46</v>
      </c>
      <c r="D120" s="8">
        <f t="shared" si="3"/>
        <v>45</v>
      </c>
    </row>
    <row r="121" spans="1:4">
      <c r="A121">
        <v>118</v>
      </c>
      <c r="B121" s="8">
        <f t="shared" si="4"/>
        <v>85</v>
      </c>
      <c r="C121" s="8">
        <f t="shared" si="5"/>
        <v>48</v>
      </c>
      <c r="D121" s="8">
        <f t="shared" si="3"/>
        <v>47</v>
      </c>
    </row>
    <row r="122" spans="1:4">
      <c r="A122">
        <v>119</v>
      </c>
      <c r="B122" s="8">
        <f t="shared" si="4"/>
        <v>87</v>
      </c>
      <c r="C122" s="8">
        <f t="shared" si="5"/>
        <v>49</v>
      </c>
      <c r="D122" s="8">
        <f t="shared" si="3"/>
        <v>48</v>
      </c>
    </row>
    <row r="123" spans="1:4">
      <c r="A123">
        <v>120</v>
      </c>
      <c r="B123" s="8">
        <f t="shared" si="4"/>
        <v>90</v>
      </c>
      <c r="C123" s="8">
        <f t="shared" si="5"/>
        <v>51</v>
      </c>
      <c r="D123" s="8">
        <f t="shared" si="3"/>
        <v>50</v>
      </c>
    </row>
    <row r="124" spans="1:4">
      <c r="A124">
        <v>121</v>
      </c>
      <c r="B124" s="8">
        <f t="shared" si="4"/>
        <v>92</v>
      </c>
      <c r="C124" s="8">
        <f t="shared" si="5"/>
        <v>53</v>
      </c>
      <c r="D124" s="8">
        <f t="shared" si="3"/>
        <v>52</v>
      </c>
    </row>
    <row r="125" spans="1:4">
      <c r="A125">
        <v>122</v>
      </c>
      <c r="B125" s="8">
        <f t="shared" si="4"/>
        <v>95</v>
      </c>
      <c r="C125" s="8">
        <f t="shared" si="5"/>
        <v>54</v>
      </c>
      <c r="D125" s="8">
        <f t="shared" si="3"/>
        <v>53</v>
      </c>
    </row>
    <row r="126" spans="1:4">
      <c r="A126">
        <v>123</v>
      </c>
      <c r="B126" s="8">
        <f t="shared" si="4"/>
        <v>98</v>
      </c>
      <c r="C126" s="8">
        <f t="shared" si="5"/>
        <v>56</v>
      </c>
      <c r="D126" s="8">
        <f t="shared" si="3"/>
        <v>55</v>
      </c>
    </row>
    <row r="127" spans="1:4">
      <c r="A127">
        <v>124</v>
      </c>
      <c r="B127" s="8">
        <f t="shared" si="4"/>
        <v>100</v>
      </c>
      <c r="C127" s="8">
        <f t="shared" si="5"/>
        <v>58</v>
      </c>
      <c r="D127" s="8">
        <f t="shared" si="3"/>
        <v>57</v>
      </c>
    </row>
    <row r="128" spans="1:4">
      <c r="A128">
        <v>125</v>
      </c>
      <c r="B128" s="8">
        <f t="shared" si="4"/>
        <v>103</v>
      </c>
      <c r="C128" s="8">
        <f t="shared" si="5"/>
        <v>60</v>
      </c>
      <c r="D128" s="8">
        <f t="shared" si="3"/>
        <v>59</v>
      </c>
    </row>
    <row r="129" spans="1:4">
      <c r="A129">
        <v>126</v>
      </c>
      <c r="B129" s="8">
        <f t="shared" si="4"/>
        <v>106</v>
      </c>
      <c r="C129" s="8">
        <f t="shared" si="5"/>
        <v>62</v>
      </c>
      <c r="D129" s="8">
        <f t="shared" si="3"/>
        <v>61</v>
      </c>
    </row>
    <row r="130" spans="1:4">
      <c r="A130">
        <v>127</v>
      </c>
      <c r="B130" s="8">
        <f t="shared" si="4"/>
        <v>109</v>
      </c>
      <c r="C130" s="8">
        <f t="shared" si="5"/>
        <v>64</v>
      </c>
      <c r="D130" s="8">
        <f t="shared" si="3"/>
        <v>63</v>
      </c>
    </row>
    <row r="131" spans="1:4">
      <c r="A131">
        <v>128</v>
      </c>
      <c r="B131" s="8">
        <f t="shared" si="4"/>
        <v>112</v>
      </c>
      <c r="C131" s="8">
        <f t="shared" si="5"/>
        <v>66</v>
      </c>
      <c r="D131" s="8">
        <f t="shared" ref="D131:D194" si="6">ROUND(2^($G$5*($A131+1)/$G$2)-1,0)</f>
        <v>65</v>
      </c>
    </row>
    <row r="132" spans="1:4">
      <c r="A132">
        <v>129</v>
      </c>
      <c r="B132" s="8">
        <f t="shared" ref="B132:B195" si="7">ROUND($G$3*POWER($G$6,A132),0)</f>
        <v>116</v>
      </c>
      <c r="C132" s="8">
        <f t="shared" si="5"/>
        <v>68</v>
      </c>
      <c r="D132" s="8">
        <f t="shared" si="6"/>
        <v>67</v>
      </c>
    </row>
    <row r="133" spans="1:4">
      <c r="A133">
        <v>130</v>
      </c>
      <c r="B133" s="8">
        <f t="shared" si="7"/>
        <v>119</v>
      </c>
      <c r="C133" s="8">
        <f t="shared" ref="C133:C196" si="8">ROUND(2^($G$4*($A133+1)/$G$2),0)</f>
        <v>71</v>
      </c>
      <c r="D133" s="8">
        <f t="shared" si="6"/>
        <v>70</v>
      </c>
    </row>
    <row r="134" spans="1:4">
      <c r="A134">
        <v>131</v>
      </c>
      <c r="B134" s="8">
        <f t="shared" si="7"/>
        <v>122</v>
      </c>
      <c r="C134" s="8">
        <f t="shared" si="8"/>
        <v>73</v>
      </c>
      <c r="D134" s="8">
        <f t="shared" si="6"/>
        <v>72</v>
      </c>
    </row>
    <row r="135" spans="1:4">
      <c r="A135">
        <v>132</v>
      </c>
      <c r="B135" s="8">
        <f t="shared" si="7"/>
        <v>126</v>
      </c>
      <c r="C135" s="8">
        <f t="shared" si="8"/>
        <v>75</v>
      </c>
      <c r="D135" s="8">
        <f t="shared" si="6"/>
        <v>74</v>
      </c>
    </row>
    <row r="136" spans="1:4">
      <c r="A136">
        <v>133</v>
      </c>
      <c r="B136" s="8">
        <f t="shared" si="7"/>
        <v>130</v>
      </c>
      <c r="C136" s="8">
        <f t="shared" si="8"/>
        <v>78</v>
      </c>
      <c r="D136" s="8">
        <f t="shared" si="6"/>
        <v>77</v>
      </c>
    </row>
    <row r="137" spans="1:4">
      <c r="A137">
        <v>134</v>
      </c>
      <c r="B137" s="8">
        <f t="shared" si="7"/>
        <v>133</v>
      </c>
      <c r="C137" s="8">
        <f t="shared" si="8"/>
        <v>80</v>
      </c>
      <c r="D137" s="8">
        <f t="shared" si="6"/>
        <v>79</v>
      </c>
    </row>
    <row r="138" spans="1:4">
      <c r="A138">
        <v>135</v>
      </c>
      <c r="B138" s="8">
        <f t="shared" si="7"/>
        <v>137</v>
      </c>
      <c r="C138" s="8">
        <f t="shared" si="8"/>
        <v>83</v>
      </c>
      <c r="D138" s="8">
        <f t="shared" si="6"/>
        <v>82</v>
      </c>
    </row>
    <row r="139" spans="1:4">
      <c r="A139">
        <v>136</v>
      </c>
      <c r="B139" s="8">
        <f t="shared" si="7"/>
        <v>141</v>
      </c>
      <c r="C139" s="8">
        <f t="shared" si="8"/>
        <v>86</v>
      </c>
      <c r="D139" s="8">
        <f t="shared" si="6"/>
        <v>85</v>
      </c>
    </row>
    <row r="140" spans="1:4">
      <c r="A140">
        <v>137</v>
      </c>
      <c r="B140" s="8">
        <f t="shared" si="7"/>
        <v>145</v>
      </c>
      <c r="C140" s="8">
        <f t="shared" si="8"/>
        <v>89</v>
      </c>
      <c r="D140" s="8">
        <f t="shared" si="6"/>
        <v>88</v>
      </c>
    </row>
    <row r="141" spans="1:4">
      <c r="A141">
        <v>138</v>
      </c>
      <c r="B141" s="8">
        <f t="shared" si="7"/>
        <v>149</v>
      </c>
      <c r="C141" s="8">
        <f t="shared" si="8"/>
        <v>91</v>
      </c>
      <c r="D141" s="8">
        <f t="shared" si="6"/>
        <v>90</v>
      </c>
    </row>
    <row r="142" spans="1:4">
      <c r="A142">
        <v>139</v>
      </c>
      <c r="B142" s="8">
        <f t="shared" si="7"/>
        <v>153</v>
      </c>
      <c r="C142" s="8">
        <f t="shared" si="8"/>
        <v>95</v>
      </c>
      <c r="D142" s="8">
        <f t="shared" si="6"/>
        <v>94</v>
      </c>
    </row>
    <row r="143" spans="1:4">
      <c r="A143">
        <v>140</v>
      </c>
      <c r="B143" s="8">
        <f t="shared" si="7"/>
        <v>158</v>
      </c>
      <c r="C143" s="8">
        <f t="shared" si="8"/>
        <v>98</v>
      </c>
      <c r="D143" s="8">
        <f t="shared" si="6"/>
        <v>97</v>
      </c>
    </row>
    <row r="144" spans="1:4">
      <c r="A144">
        <v>141</v>
      </c>
      <c r="B144" s="8">
        <f t="shared" si="7"/>
        <v>162</v>
      </c>
      <c r="C144" s="8">
        <f t="shared" si="8"/>
        <v>101</v>
      </c>
      <c r="D144" s="8">
        <f t="shared" si="6"/>
        <v>100</v>
      </c>
    </row>
    <row r="145" spans="1:4">
      <c r="A145">
        <v>142</v>
      </c>
      <c r="B145" s="8">
        <f t="shared" si="7"/>
        <v>167</v>
      </c>
      <c r="C145" s="8">
        <f t="shared" si="8"/>
        <v>104</v>
      </c>
      <c r="D145" s="8">
        <f t="shared" si="6"/>
        <v>103</v>
      </c>
    </row>
    <row r="146" spans="1:4">
      <c r="A146">
        <v>143</v>
      </c>
      <c r="B146" s="8">
        <f t="shared" si="7"/>
        <v>172</v>
      </c>
      <c r="C146" s="8">
        <f t="shared" si="8"/>
        <v>108</v>
      </c>
      <c r="D146" s="8">
        <f t="shared" si="6"/>
        <v>107</v>
      </c>
    </row>
    <row r="147" spans="1:4">
      <c r="A147">
        <v>144</v>
      </c>
      <c r="B147" s="8">
        <f t="shared" si="7"/>
        <v>177</v>
      </c>
      <c r="C147" s="8">
        <f t="shared" si="8"/>
        <v>111</v>
      </c>
      <c r="D147" s="8">
        <f t="shared" si="6"/>
        <v>110</v>
      </c>
    </row>
    <row r="148" spans="1:4">
      <c r="A148">
        <v>145</v>
      </c>
      <c r="B148" s="8">
        <f t="shared" si="7"/>
        <v>182</v>
      </c>
      <c r="C148" s="8">
        <f t="shared" si="8"/>
        <v>115</v>
      </c>
      <c r="D148" s="8">
        <f t="shared" si="6"/>
        <v>114</v>
      </c>
    </row>
    <row r="149" spans="1:4">
      <c r="A149">
        <v>146</v>
      </c>
      <c r="B149" s="8">
        <f t="shared" si="7"/>
        <v>187</v>
      </c>
      <c r="C149" s="8">
        <f t="shared" si="8"/>
        <v>119</v>
      </c>
      <c r="D149" s="8">
        <f t="shared" si="6"/>
        <v>118</v>
      </c>
    </row>
    <row r="150" spans="1:4">
      <c r="A150">
        <v>147</v>
      </c>
      <c r="B150" s="8">
        <f t="shared" si="7"/>
        <v>193</v>
      </c>
      <c r="C150" s="8">
        <f t="shared" si="8"/>
        <v>123</v>
      </c>
      <c r="D150" s="8">
        <f t="shared" si="6"/>
        <v>122</v>
      </c>
    </row>
    <row r="151" spans="1:4">
      <c r="A151">
        <v>148</v>
      </c>
      <c r="B151" s="8">
        <f t="shared" si="7"/>
        <v>198</v>
      </c>
      <c r="C151" s="8">
        <f t="shared" si="8"/>
        <v>127</v>
      </c>
      <c r="D151" s="8">
        <f t="shared" si="6"/>
        <v>126</v>
      </c>
    </row>
    <row r="152" spans="1:4">
      <c r="A152">
        <v>149</v>
      </c>
      <c r="B152" s="8">
        <f t="shared" si="7"/>
        <v>204</v>
      </c>
      <c r="C152" s="8">
        <f t="shared" si="8"/>
        <v>131</v>
      </c>
      <c r="D152" s="8">
        <f t="shared" si="6"/>
        <v>130</v>
      </c>
    </row>
    <row r="153" spans="1:4">
      <c r="A153">
        <v>150</v>
      </c>
      <c r="B153" s="8">
        <f t="shared" si="7"/>
        <v>210</v>
      </c>
      <c r="C153" s="8">
        <f t="shared" si="8"/>
        <v>135</v>
      </c>
      <c r="D153" s="8">
        <f t="shared" si="6"/>
        <v>134</v>
      </c>
    </row>
    <row r="154" spans="1:4">
      <c r="A154">
        <v>151</v>
      </c>
      <c r="B154" s="8">
        <f t="shared" si="7"/>
        <v>216</v>
      </c>
      <c r="C154" s="8">
        <f t="shared" si="8"/>
        <v>140</v>
      </c>
      <c r="D154" s="8">
        <f t="shared" si="6"/>
        <v>139</v>
      </c>
    </row>
    <row r="155" spans="1:4">
      <c r="A155">
        <v>152</v>
      </c>
      <c r="B155" s="8">
        <f t="shared" si="7"/>
        <v>222</v>
      </c>
      <c r="C155" s="8">
        <f t="shared" si="8"/>
        <v>144</v>
      </c>
      <c r="D155" s="8">
        <f t="shared" si="6"/>
        <v>143</v>
      </c>
    </row>
    <row r="156" spans="1:4">
      <c r="A156">
        <v>153</v>
      </c>
      <c r="B156" s="8">
        <f t="shared" si="7"/>
        <v>228</v>
      </c>
      <c r="C156" s="8">
        <f t="shared" si="8"/>
        <v>149</v>
      </c>
      <c r="D156" s="8">
        <f t="shared" si="6"/>
        <v>148</v>
      </c>
    </row>
    <row r="157" spans="1:4">
      <c r="A157">
        <v>154</v>
      </c>
      <c r="B157" s="8">
        <f t="shared" si="7"/>
        <v>235</v>
      </c>
      <c r="C157" s="8">
        <f t="shared" si="8"/>
        <v>154</v>
      </c>
      <c r="D157" s="8">
        <f t="shared" si="6"/>
        <v>153</v>
      </c>
    </row>
    <row r="158" spans="1:4">
      <c r="A158">
        <v>155</v>
      </c>
      <c r="B158" s="8">
        <f t="shared" si="7"/>
        <v>241</v>
      </c>
      <c r="C158" s="8">
        <f t="shared" si="8"/>
        <v>159</v>
      </c>
      <c r="D158" s="8">
        <f t="shared" si="6"/>
        <v>158</v>
      </c>
    </row>
    <row r="159" spans="1:4">
      <c r="A159">
        <v>156</v>
      </c>
      <c r="B159" s="8">
        <f t="shared" si="7"/>
        <v>248</v>
      </c>
      <c r="C159" s="8">
        <f t="shared" si="8"/>
        <v>164</v>
      </c>
      <c r="D159" s="8">
        <f t="shared" si="6"/>
        <v>163</v>
      </c>
    </row>
    <row r="160" spans="1:4">
      <c r="A160">
        <v>157</v>
      </c>
      <c r="B160" s="8">
        <f t="shared" si="7"/>
        <v>255</v>
      </c>
      <c r="C160" s="8">
        <f t="shared" si="8"/>
        <v>170</v>
      </c>
      <c r="D160" s="8">
        <f t="shared" si="6"/>
        <v>169</v>
      </c>
    </row>
    <row r="161" spans="1:4">
      <c r="A161">
        <v>158</v>
      </c>
      <c r="B161" s="8">
        <f t="shared" si="7"/>
        <v>263</v>
      </c>
      <c r="C161" s="8">
        <f t="shared" si="8"/>
        <v>175</v>
      </c>
      <c r="D161" s="8">
        <f t="shared" si="6"/>
        <v>174</v>
      </c>
    </row>
    <row r="162" spans="1:4">
      <c r="A162">
        <v>159</v>
      </c>
      <c r="B162" s="8">
        <f t="shared" si="7"/>
        <v>270</v>
      </c>
      <c r="C162" s="8">
        <f t="shared" si="8"/>
        <v>181</v>
      </c>
      <c r="D162" s="8">
        <f t="shared" si="6"/>
        <v>180</v>
      </c>
    </row>
    <row r="163" spans="1:4">
      <c r="A163">
        <v>160</v>
      </c>
      <c r="B163" s="8">
        <f t="shared" si="7"/>
        <v>278</v>
      </c>
      <c r="C163" s="8">
        <f t="shared" si="8"/>
        <v>187</v>
      </c>
      <c r="D163" s="8">
        <f t="shared" si="6"/>
        <v>186</v>
      </c>
    </row>
    <row r="164" spans="1:4">
      <c r="A164">
        <v>161</v>
      </c>
      <c r="B164" s="8">
        <f t="shared" si="7"/>
        <v>286</v>
      </c>
      <c r="C164" s="8">
        <f t="shared" si="8"/>
        <v>193</v>
      </c>
      <c r="D164" s="8">
        <f t="shared" si="6"/>
        <v>192</v>
      </c>
    </row>
    <row r="165" spans="1:4">
      <c r="A165">
        <v>162</v>
      </c>
      <c r="B165" s="8">
        <f t="shared" si="7"/>
        <v>294</v>
      </c>
      <c r="C165" s="8">
        <f t="shared" si="8"/>
        <v>200</v>
      </c>
      <c r="D165" s="8">
        <f t="shared" si="6"/>
        <v>199</v>
      </c>
    </row>
    <row r="166" spans="1:4">
      <c r="A166">
        <v>163</v>
      </c>
      <c r="B166" s="8">
        <f t="shared" si="7"/>
        <v>303</v>
      </c>
      <c r="C166" s="8">
        <f t="shared" si="8"/>
        <v>206</v>
      </c>
      <c r="D166" s="8">
        <f t="shared" si="6"/>
        <v>205</v>
      </c>
    </row>
    <row r="167" spans="1:4">
      <c r="A167">
        <v>164</v>
      </c>
      <c r="B167" s="8">
        <f t="shared" si="7"/>
        <v>311</v>
      </c>
      <c r="C167" s="8">
        <f t="shared" si="8"/>
        <v>213</v>
      </c>
      <c r="D167" s="8">
        <f t="shared" si="6"/>
        <v>212</v>
      </c>
    </row>
    <row r="168" spans="1:4">
      <c r="A168">
        <v>165</v>
      </c>
      <c r="B168" s="8">
        <f t="shared" si="7"/>
        <v>320</v>
      </c>
      <c r="C168" s="8">
        <f t="shared" si="8"/>
        <v>220</v>
      </c>
      <c r="D168" s="8">
        <f t="shared" si="6"/>
        <v>219</v>
      </c>
    </row>
    <row r="169" spans="1:4">
      <c r="A169">
        <v>166</v>
      </c>
      <c r="B169" s="8">
        <f t="shared" si="7"/>
        <v>330</v>
      </c>
      <c r="C169" s="8">
        <f t="shared" si="8"/>
        <v>227</v>
      </c>
      <c r="D169" s="8">
        <f t="shared" si="6"/>
        <v>226</v>
      </c>
    </row>
    <row r="170" spans="1:4">
      <c r="A170">
        <v>167</v>
      </c>
      <c r="B170" s="8">
        <f t="shared" si="7"/>
        <v>339</v>
      </c>
      <c r="C170" s="8">
        <f t="shared" si="8"/>
        <v>235</v>
      </c>
      <c r="D170" s="8">
        <f t="shared" si="6"/>
        <v>234</v>
      </c>
    </row>
    <row r="171" spans="1:4">
      <c r="A171">
        <v>168</v>
      </c>
      <c r="B171" s="8">
        <f t="shared" si="7"/>
        <v>349</v>
      </c>
      <c r="C171" s="8">
        <f t="shared" si="8"/>
        <v>242</v>
      </c>
      <c r="D171" s="8">
        <f t="shared" si="6"/>
        <v>242</v>
      </c>
    </row>
    <row r="172" spans="1:4">
      <c r="A172">
        <v>169</v>
      </c>
      <c r="B172" s="8">
        <f t="shared" si="7"/>
        <v>359</v>
      </c>
      <c r="C172" s="8">
        <f t="shared" si="8"/>
        <v>250</v>
      </c>
      <c r="D172" s="8">
        <f t="shared" si="6"/>
        <v>250</v>
      </c>
    </row>
    <row r="173" spans="1:4">
      <c r="A173">
        <v>170</v>
      </c>
      <c r="B173" s="8">
        <f t="shared" si="7"/>
        <v>369</v>
      </c>
      <c r="C173" s="8">
        <f t="shared" si="8"/>
        <v>259</v>
      </c>
      <c r="D173" s="8">
        <f t="shared" si="6"/>
        <v>258</v>
      </c>
    </row>
    <row r="174" spans="1:4">
      <c r="A174">
        <v>171</v>
      </c>
      <c r="B174" s="8">
        <f t="shared" si="7"/>
        <v>380</v>
      </c>
      <c r="C174" s="8">
        <f t="shared" si="8"/>
        <v>267</v>
      </c>
      <c r="D174" s="8">
        <f t="shared" si="6"/>
        <v>266</v>
      </c>
    </row>
    <row r="175" spans="1:4">
      <c r="A175">
        <v>172</v>
      </c>
      <c r="B175" s="8">
        <f t="shared" si="7"/>
        <v>391</v>
      </c>
      <c r="C175" s="8">
        <f t="shared" si="8"/>
        <v>276</v>
      </c>
      <c r="D175" s="8">
        <f t="shared" si="6"/>
        <v>275</v>
      </c>
    </row>
    <row r="176" spans="1:4">
      <c r="A176">
        <v>173</v>
      </c>
      <c r="B176" s="8">
        <f t="shared" si="7"/>
        <v>402</v>
      </c>
      <c r="C176" s="8">
        <f t="shared" si="8"/>
        <v>285</v>
      </c>
      <c r="D176" s="8">
        <f t="shared" si="6"/>
        <v>284</v>
      </c>
    </row>
    <row r="177" spans="1:4">
      <c r="A177">
        <v>174</v>
      </c>
      <c r="B177" s="8">
        <f t="shared" si="7"/>
        <v>413</v>
      </c>
      <c r="C177" s="8">
        <f t="shared" si="8"/>
        <v>295</v>
      </c>
      <c r="D177" s="8">
        <f t="shared" si="6"/>
        <v>294</v>
      </c>
    </row>
    <row r="178" spans="1:4">
      <c r="A178">
        <v>175</v>
      </c>
      <c r="B178" s="8">
        <f t="shared" si="7"/>
        <v>425</v>
      </c>
      <c r="C178" s="8">
        <f t="shared" si="8"/>
        <v>304</v>
      </c>
      <c r="D178" s="8">
        <f t="shared" si="6"/>
        <v>303</v>
      </c>
    </row>
    <row r="179" spans="1:4">
      <c r="A179">
        <v>176</v>
      </c>
      <c r="B179" s="8">
        <f t="shared" si="7"/>
        <v>437</v>
      </c>
      <c r="C179" s="8">
        <f t="shared" si="8"/>
        <v>314</v>
      </c>
      <c r="D179" s="8">
        <f t="shared" si="6"/>
        <v>313</v>
      </c>
    </row>
    <row r="180" spans="1:4">
      <c r="A180">
        <v>177</v>
      </c>
      <c r="B180" s="8">
        <f t="shared" si="7"/>
        <v>450</v>
      </c>
      <c r="C180" s="8">
        <f t="shared" si="8"/>
        <v>325</v>
      </c>
      <c r="D180" s="8">
        <f t="shared" si="6"/>
        <v>324</v>
      </c>
    </row>
    <row r="181" spans="1:4">
      <c r="A181">
        <v>178</v>
      </c>
      <c r="B181" s="8">
        <f t="shared" si="7"/>
        <v>463</v>
      </c>
      <c r="C181" s="8">
        <f t="shared" si="8"/>
        <v>336</v>
      </c>
      <c r="D181" s="8">
        <f t="shared" si="6"/>
        <v>335</v>
      </c>
    </row>
    <row r="182" spans="1:4">
      <c r="A182">
        <v>179</v>
      </c>
      <c r="B182" s="8">
        <f t="shared" si="7"/>
        <v>476</v>
      </c>
      <c r="C182" s="8">
        <f t="shared" si="8"/>
        <v>347</v>
      </c>
      <c r="D182" s="8">
        <f t="shared" si="6"/>
        <v>346</v>
      </c>
    </row>
    <row r="183" spans="1:4">
      <c r="A183">
        <v>180</v>
      </c>
      <c r="B183" s="8">
        <f t="shared" si="7"/>
        <v>490</v>
      </c>
      <c r="C183" s="8">
        <f t="shared" si="8"/>
        <v>358</v>
      </c>
      <c r="D183" s="8">
        <f t="shared" si="6"/>
        <v>357</v>
      </c>
    </row>
    <row r="184" spans="1:4">
      <c r="A184">
        <v>181</v>
      </c>
      <c r="B184" s="8">
        <f t="shared" si="7"/>
        <v>504</v>
      </c>
      <c r="C184" s="8">
        <f t="shared" si="8"/>
        <v>370</v>
      </c>
      <c r="D184" s="8">
        <f t="shared" si="6"/>
        <v>369</v>
      </c>
    </row>
    <row r="185" spans="1:4">
      <c r="A185">
        <v>182</v>
      </c>
      <c r="B185" s="8">
        <f t="shared" si="7"/>
        <v>518</v>
      </c>
      <c r="C185" s="8">
        <f t="shared" si="8"/>
        <v>382</v>
      </c>
      <c r="D185" s="8">
        <f t="shared" si="6"/>
        <v>381</v>
      </c>
    </row>
    <row r="186" spans="1:4">
      <c r="A186">
        <v>183</v>
      </c>
      <c r="B186" s="8">
        <f t="shared" si="7"/>
        <v>533</v>
      </c>
      <c r="C186" s="8">
        <f t="shared" si="8"/>
        <v>395</v>
      </c>
      <c r="D186" s="8">
        <f t="shared" si="6"/>
        <v>394</v>
      </c>
    </row>
    <row r="187" spans="1:4">
      <c r="A187">
        <v>184</v>
      </c>
      <c r="B187" s="8">
        <f t="shared" si="7"/>
        <v>549</v>
      </c>
      <c r="C187" s="8">
        <f t="shared" si="8"/>
        <v>408</v>
      </c>
      <c r="D187" s="8">
        <f t="shared" si="6"/>
        <v>407</v>
      </c>
    </row>
    <row r="188" spans="1:4">
      <c r="A188">
        <v>185</v>
      </c>
      <c r="B188" s="8">
        <f t="shared" si="7"/>
        <v>564</v>
      </c>
      <c r="C188" s="8">
        <f t="shared" si="8"/>
        <v>421</v>
      </c>
      <c r="D188" s="8">
        <f t="shared" si="6"/>
        <v>420</v>
      </c>
    </row>
    <row r="189" spans="1:4">
      <c r="A189">
        <v>186</v>
      </c>
      <c r="B189" s="8">
        <f t="shared" si="7"/>
        <v>581</v>
      </c>
      <c r="C189" s="8">
        <f t="shared" si="8"/>
        <v>435</v>
      </c>
      <c r="D189" s="8">
        <f t="shared" si="6"/>
        <v>434</v>
      </c>
    </row>
    <row r="190" spans="1:4">
      <c r="A190">
        <v>187</v>
      </c>
      <c r="B190" s="8">
        <f t="shared" si="7"/>
        <v>597</v>
      </c>
      <c r="C190" s="8">
        <f t="shared" si="8"/>
        <v>450</v>
      </c>
      <c r="D190" s="8">
        <f t="shared" si="6"/>
        <v>449</v>
      </c>
    </row>
    <row r="191" spans="1:4">
      <c r="A191">
        <v>188</v>
      </c>
      <c r="B191" s="8">
        <f t="shared" si="7"/>
        <v>614</v>
      </c>
      <c r="C191" s="8">
        <f t="shared" si="8"/>
        <v>464</v>
      </c>
      <c r="D191" s="8">
        <f t="shared" si="6"/>
        <v>463</v>
      </c>
    </row>
    <row r="192" spans="1:4">
      <c r="A192">
        <v>189</v>
      </c>
      <c r="B192" s="8">
        <f t="shared" si="7"/>
        <v>632</v>
      </c>
      <c r="C192" s="8">
        <f t="shared" si="8"/>
        <v>480</v>
      </c>
      <c r="D192" s="8">
        <f t="shared" si="6"/>
        <v>479</v>
      </c>
    </row>
    <row r="193" spans="1:4">
      <c r="A193">
        <v>190</v>
      </c>
      <c r="B193" s="8">
        <f t="shared" si="7"/>
        <v>650</v>
      </c>
      <c r="C193" s="8">
        <f t="shared" si="8"/>
        <v>496</v>
      </c>
      <c r="D193" s="8">
        <f t="shared" si="6"/>
        <v>495</v>
      </c>
    </row>
    <row r="194" spans="1:4">
      <c r="A194">
        <v>191</v>
      </c>
      <c r="B194" s="8">
        <f t="shared" si="7"/>
        <v>669</v>
      </c>
      <c r="C194" s="8">
        <f t="shared" si="8"/>
        <v>512</v>
      </c>
      <c r="D194" s="8">
        <f t="shared" si="6"/>
        <v>511</v>
      </c>
    </row>
    <row r="195" spans="1:4">
      <c r="A195">
        <v>192</v>
      </c>
      <c r="B195" s="8">
        <f t="shared" si="7"/>
        <v>688</v>
      </c>
      <c r="C195" s="8">
        <f t="shared" si="8"/>
        <v>529</v>
      </c>
      <c r="D195" s="8">
        <f t="shared" ref="D195:D258" si="9">ROUND(2^($G$5*($A195+1)/$G$2)-1,0)</f>
        <v>528</v>
      </c>
    </row>
    <row r="196" spans="1:4">
      <c r="A196">
        <v>193</v>
      </c>
      <c r="B196" s="8">
        <f t="shared" ref="B196:B258" si="10">ROUND($G$3*POWER($G$6,A196),0)</f>
        <v>708</v>
      </c>
      <c r="C196" s="8">
        <f t="shared" si="8"/>
        <v>546</v>
      </c>
      <c r="D196" s="8">
        <f t="shared" si="9"/>
        <v>545</v>
      </c>
    </row>
    <row r="197" spans="1:4">
      <c r="A197">
        <v>194</v>
      </c>
      <c r="B197" s="8">
        <f t="shared" si="10"/>
        <v>728</v>
      </c>
      <c r="C197" s="8">
        <f t="shared" ref="C197:C258" si="11">ROUND(2^($G$4*($A197+1)/$G$2),0)</f>
        <v>564</v>
      </c>
      <c r="D197" s="8">
        <f t="shared" si="9"/>
        <v>563</v>
      </c>
    </row>
    <row r="198" spans="1:4">
      <c r="A198">
        <v>195</v>
      </c>
      <c r="B198" s="8">
        <f t="shared" si="10"/>
        <v>749</v>
      </c>
      <c r="C198" s="8">
        <f t="shared" si="11"/>
        <v>583</v>
      </c>
      <c r="D198" s="8">
        <f t="shared" si="9"/>
        <v>582</v>
      </c>
    </row>
    <row r="199" spans="1:4">
      <c r="A199">
        <v>196</v>
      </c>
      <c r="B199" s="8">
        <f t="shared" si="10"/>
        <v>771</v>
      </c>
      <c r="C199" s="8">
        <f t="shared" si="11"/>
        <v>602</v>
      </c>
      <c r="D199" s="8">
        <f t="shared" si="9"/>
        <v>601</v>
      </c>
    </row>
    <row r="200" spans="1:4">
      <c r="A200">
        <v>197</v>
      </c>
      <c r="B200" s="8">
        <f t="shared" si="10"/>
        <v>793</v>
      </c>
      <c r="C200" s="8">
        <f t="shared" si="11"/>
        <v>622</v>
      </c>
      <c r="D200" s="8">
        <f t="shared" si="9"/>
        <v>621</v>
      </c>
    </row>
    <row r="201" spans="1:4">
      <c r="A201">
        <v>198</v>
      </c>
      <c r="B201" s="8">
        <f t="shared" si="10"/>
        <v>816</v>
      </c>
      <c r="C201" s="8">
        <f t="shared" si="11"/>
        <v>643</v>
      </c>
      <c r="D201" s="8">
        <f t="shared" si="9"/>
        <v>642</v>
      </c>
    </row>
    <row r="202" spans="1:4">
      <c r="A202">
        <v>199</v>
      </c>
      <c r="B202" s="8">
        <f t="shared" si="10"/>
        <v>839</v>
      </c>
      <c r="C202" s="8">
        <f t="shared" si="11"/>
        <v>664</v>
      </c>
      <c r="D202" s="8">
        <f t="shared" si="9"/>
        <v>663</v>
      </c>
    </row>
    <row r="203" spans="1:4">
      <c r="A203">
        <v>200</v>
      </c>
      <c r="B203" s="8">
        <f t="shared" si="10"/>
        <v>863</v>
      </c>
      <c r="C203" s="8">
        <f t="shared" si="11"/>
        <v>686</v>
      </c>
      <c r="D203" s="8">
        <f t="shared" si="9"/>
        <v>685</v>
      </c>
    </row>
    <row r="204" spans="1:4">
      <c r="A204">
        <v>201</v>
      </c>
      <c r="B204" s="8">
        <f t="shared" si="10"/>
        <v>888</v>
      </c>
      <c r="C204" s="8">
        <f t="shared" si="11"/>
        <v>708</v>
      </c>
      <c r="D204" s="8">
        <f t="shared" si="9"/>
        <v>708</v>
      </c>
    </row>
    <row r="205" spans="1:4">
      <c r="A205">
        <v>202</v>
      </c>
      <c r="B205" s="8">
        <f t="shared" si="10"/>
        <v>913</v>
      </c>
      <c r="C205" s="8">
        <f t="shared" si="11"/>
        <v>732</v>
      </c>
      <c r="D205" s="8">
        <f t="shared" si="9"/>
        <v>731</v>
      </c>
    </row>
    <row r="206" spans="1:4">
      <c r="A206">
        <v>203</v>
      </c>
      <c r="B206" s="8">
        <f t="shared" si="10"/>
        <v>940</v>
      </c>
      <c r="C206" s="8">
        <f t="shared" si="11"/>
        <v>756</v>
      </c>
      <c r="D206" s="8">
        <f t="shared" si="9"/>
        <v>755</v>
      </c>
    </row>
    <row r="207" spans="1:4">
      <c r="A207">
        <v>204</v>
      </c>
      <c r="B207" s="8">
        <f t="shared" si="10"/>
        <v>967</v>
      </c>
      <c r="C207" s="8">
        <f t="shared" si="11"/>
        <v>781</v>
      </c>
      <c r="D207" s="8">
        <f t="shared" si="9"/>
        <v>780</v>
      </c>
    </row>
    <row r="208" spans="1:4">
      <c r="A208">
        <v>205</v>
      </c>
      <c r="B208" s="8">
        <f t="shared" si="10"/>
        <v>994</v>
      </c>
      <c r="C208" s="8">
        <f t="shared" si="11"/>
        <v>807</v>
      </c>
      <c r="D208" s="8">
        <f t="shared" si="9"/>
        <v>806</v>
      </c>
    </row>
    <row r="209" spans="1:4">
      <c r="A209">
        <v>206</v>
      </c>
      <c r="B209" s="8">
        <f t="shared" si="10"/>
        <v>1023</v>
      </c>
      <c r="C209" s="8">
        <f t="shared" si="11"/>
        <v>833</v>
      </c>
      <c r="D209" s="8">
        <f t="shared" si="9"/>
        <v>833</v>
      </c>
    </row>
    <row r="210" spans="1:4">
      <c r="A210">
        <v>207</v>
      </c>
      <c r="B210" s="8">
        <f t="shared" si="10"/>
        <v>1052</v>
      </c>
      <c r="C210" s="8">
        <f t="shared" si="11"/>
        <v>861</v>
      </c>
      <c r="D210" s="8">
        <f t="shared" si="9"/>
        <v>860</v>
      </c>
    </row>
    <row r="211" spans="1:4">
      <c r="A211">
        <v>208</v>
      </c>
      <c r="B211" s="8">
        <f t="shared" si="10"/>
        <v>1082</v>
      </c>
      <c r="C211" s="8">
        <f t="shared" si="11"/>
        <v>889</v>
      </c>
      <c r="D211" s="8">
        <f t="shared" si="9"/>
        <v>889</v>
      </c>
    </row>
    <row r="212" spans="1:4">
      <c r="A212">
        <v>209</v>
      </c>
      <c r="B212" s="8">
        <f t="shared" si="10"/>
        <v>1114</v>
      </c>
      <c r="C212" s="8">
        <f t="shared" si="11"/>
        <v>919</v>
      </c>
      <c r="D212" s="8">
        <f t="shared" si="9"/>
        <v>918</v>
      </c>
    </row>
    <row r="213" spans="1:4">
      <c r="A213">
        <v>210</v>
      </c>
      <c r="B213" s="8">
        <f t="shared" si="10"/>
        <v>1146</v>
      </c>
      <c r="C213" s="8">
        <f t="shared" si="11"/>
        <v>949</v>
      </c>
      <c r="D213" s="8">
        <f t="shared" si="9"/>
        <v>948</v>
      </c>
    </row>
    <row r="214" spans="1:4">
      <c r="A214">
        <v>211</v>
      </c>
      <c r="B214" s="8">
        <f t="shared" si="10"/>
        <v>1178</v>
      </c>
      <c r="C214" s="8">
        <f t="shared" si="11"/>
        <v>980</v>
      </c>
      <c r="D214" s="8">
        <f t="shared" si="9"/>
        <v>980</v>
      </c>
    </row>
    <row r="215" spans="1:4">
      <c r="A215">
        <v>212</v>
      </c>
      <c r="B215" s="8">
        <f t="shared" si="10"/>
        <v>1212</v>
      </c>
      <c r="C215" s="8">
        <f t="shared" si="11"/>
        <v>1013</v>
      </c>
      <c r="D215" s="8">
        <f t="shared" si="9"/>
        <v>1012</v>
      </c>
    </row>
    <row r="216" spans="1:4">
      <c r="A216">
        <v>213</v>
      </c>
      <c r="B216" s="8">
        <f t="shared" si="10"/>
        <v>1247</v>
      </c>
      <c r="C216" s="8">
        <f t="shared" si="11"/>
        <v>1046</v>
      </c>
      <c r="D216" s="8">
        <f t="shared" si="9"/>
        <v>1045</v>
      </c>
    </row>
    <row r="217" spans="1:4">
      <c r="A217">
        <v>214</v>
      </c>
      <c r="B217" s="8">
        <f t="shared" si="10"/>
        <v>1283</v>
      </c>
      <c r="C217" s="8">
        <f t="shared" si="11"/>
        <v>1081</v>
      </c>
      <c r="D217" s="8">
        <f t="shared" si="9"/>
        <v>1080</v>
      </c>
    </row>
    <row r="218" spans="1:4">
      <c r="A218">
        <v>215</v>
      </c>
      <c r="B218" s="8">
        <f t="shared" si="10"/>
        <v>1320</v>
      </c>
      <c r="C218" s="8">
        <f t="shared" si="11"/>
        <v>1116</v>
      </c>
      <c r="D218" s="8">
        <f t="shared" si="9"/>
        <v>1116</v>
      </c>
    </row>
    <row r="219" spans="1:4">
      <c r="A219">
        <v>216</v>
      </c>
      <c r="B219" s="8">
        <f t="shared" si="10"/>
        <v>1358</v>
      </c>
      <c r="C219" s="8">
        <f t="shared" si="11"/>
        <v>1153</v>
      </c>
      <c r="D219" s="8">
        <f t="shared" si="9"/>
        <v>1153</v>
      </c>
    </row>
    <row r="220" spans="1:4">
      <c r="A220">
        <v>217</v>
      </c>
      <c r="B220" s="8">
        <f t="shared" si="10"/>
        <v>1397</v>
      </c>
      <c r="C220" s="8">
        <f t="shared" si="11"/>
        <v>1191</v>
      </c>
      <c r="D220" s="8">
        <f t="shared" si="9"/>
        <v>1191</v>
      </c>
    </row>
    <row r="221" spans="1:4">
      <c r="A221">
        <v>218</v>
      </c>
      <c r="B221" s="8">
        <f t="shared" si="10"/>
        <v>1437</v>
      </c>
      <c r="C221" s="8">
        <f t="shared" si="11"/>
        <v>1231</v>
      </c>
      <c r="D221" s="8">
        <f t="shared" si="9"/>
        <v>1230</v>
      </c>
    </row>
    <row r="222" spans="1:4">
      <c r="A222">
        <v>219</v>
      </c>
      <c r="B222" s="8">
        <f t="shared" si="10"/>
        <v>1478</v>
      </c>
      <c r="C222" s="8">
        <f t="shared" si="11"/>
        <v>1271</v>
      </c>
      <c r="D222" s="8">
        <f t="shared" si="9"/>
        <v>1271</v>
      </c>
    </row>
    <row r="223" spans="1:4">
      <c r="A223">
        <v>220</v>
      </c>
      <c r="B223" s="8">
        <f t="shared" si="10"/>
        <v>1520</v>
      </c>
      <c r="C223" s="8">
        <f t="shared" si="11"/>
        <v>1313</v>
      </c>
      <c r="D223" s="8">
        <f t="shared" si="9"/>
        <v>1313</v>
      </c>
    </row>
    <row r="224" spans="1:4">
      <c r="A224">
        <v>221</v>
      </c>
      <c r="B224" s="8">
        <f t="shared" si="10"/>
        <v>1564</v>
      </c>
      <c r="C224" s="8">
        <f t="shared" si="11"/>
        <v>1357</v>
      </c>
      <c r="D224" s="8">
        <f t="shared" si="9"/>
        <v>1356</v>
      </c>
    </row>
    <row r="225" spans="1:4">
      <c r="A225">
        <v>222</v>
      </c>
      <c r="B225" s="8">
        <f t="shared" si="10"/>
        <v>1609</v>
      </c>
      <c r="C225" s="8">
        <f t="shared" si="11"/>
        <v>1402</v>
      </c>
      <c r="D225" s="8">
        <f t="shared" si="9"/>
        <v>1401</v>
      </c>
    </row>
    <row r="226" spans="1:4">
      <c r="A226">
        <v>223</v>
      </c>
      <c r="B226" s="8">
        <f t="shared" si="10"/>
        <v>1655</v>
      </c>
      <c r="C226" s="8">
        <f t="shared" si="11"/>
        <v>1448</v>
      </c>
      <c r="D226" s="8">
        <f t="shared" si="9"/>
        <v>1447</v>
      </c>
    </row>
    <row r="227" spans="1:4">
      <c r="A227">
        <v>224</v>
      </c>
      <c r="B227" s="8">
        <f t="shared" si="10"/>
        <v>1703</v>
      </c>
      <c r="C227" s="8">
        <f t="shared" si="11"/>
        <v>1496</v>
      </c>
      <c r="D227" s="8">
        <f t="shared" si="9"/>
        <v>1495</v>
      </c>
    </row>
    <row r="228" spans="1:4">
      <c r="A228">
        <v>225</v>
      </c>
      <c r="B228" s="8">
        <f t="shared" si="10"/>
        <v>1752</v>
      </c>
      <c r="C228" s="8">
        <f t="shared" si="11"/>
        <v>1545</v>
      </c>
      <c r="D228" s="8">
        <f t="shared" si="9"/>
        <v>1544</v>
      </c>
    </row>
    <row r="229" spans="1:4">
      <c r="A229">
        <v>226</v>
      </c>
      <c r="B229" s="8">
        <f t="shared" si="10"/>
        <v>1802</v>
      </c>
      <c r="C229" s="8">
        <f t="shared" si="11"/>
        <v>1596</v>
      </c>
      <c r="D229" s="8">
        <f t="shared" si="9"/>
        <v>1595</v>
      </c>
    </row>
    <row r="230" spans="1:4">
      <c r="A230">
        <v>227</v>
      </c>
      <c r="B230" s="8">
        <f t="shared" si="10"/>
        <v>1854</v>
      </c>
      <c r="C230" s="8">
        <f t="shared" si="11"/>
        <v>1649</v>
      </c>
      <c r="D230" s="8">
        <f t="shared" si="9"/>
        <v>1648</v>
      </c>
    </row>
    <row r="231" spans="1:4">
      <c r="A231">
        <v>228</v>
      </c>
      <c r="B231" s="8">
        <f t="shared" si="10"/>
        <v>1907</v>
      </c>
      <c r="C231" s="8">
        <f t="shared" si="11"/>
        <v>1703</v>
      </c>
      <c r="D231" s="8">
        <f t="shared" si="9"/>
        <v>1703</v>
      </c>
    </row>
    <row r="232" spans="1:4">
      <c r="A232">
        <v>229</v>
      </c>
      <c r="B232" s="8">
        <f t="shared" si="10"/>
        <v>1962</v>
      </c>
      <c r="C232" s="8">
        <f t="shared" si="11"/>
        <v>1759</v>
      </c>
      <c r="D232" s="8">
        <f t="shared" si="9"/>
        <v>1759</v>
      </c>
    </row>
    <row r="233" spans="1:4">
      <c r="A233">
        <v>230</v>
      </c>
      <c r="B233" s="8">
        <f t="shared" si="10"/>
        <v>2018</v>
      </c>
      <c r="C233" s="8">
        <f t="shared" si="11"/>
        <v>1818</v>
      </c>
      <c r="D233" s="8">
        <f t="shared" si="9"/>
        <v>1817</v>
      </c>
    </row>
    <row r="234" spans="1:4">
      <c r="A234">
        <v>231</v>
      </c>
      <c r="B234" s="8">
        <f t="shared" si="10"/>
        <v>2076</v>
      </c>
      <c r="C234" s="8">
        <f t="shared" si="11"/>
        <v>1878</v>
      </c>
      <c r="D234" s="8">
        <f t="shared" si="9"/>
        <v>1877</v>
      </c>
    </row>
    <row r="235" spans="1:4">
      <c r="A235">
        <v>232</v>
      </c>
      <c r="B235" s="8">
        <f t="shared" si="10"/>
        <v>2135</v>
      </c>
      <c r="C235" s="8">
        <f t="shared" si="11"/>
        <v>1940</v>
      </c>
      <c r="D235" s="8">
        <f t="shared" si="9"/>
        <v>1939</v>
      </c>
    </row>
    <row r="236" spans="1:4">
      <c r="A236">
        <v>233</v>
      </c>
      <c r="B236" s="8">
        <f t="shared" si="10"/>
        <v>2197</v>
      </c>
      <c r="C236" s="8">
        <f t="shared" si="11"/>
        <v>2004</v>
      </c>
      <c r="D236" s="8">
        <f t="shared" si="9"/>
        <v>2003</v>
      </c>
    </row>
    <row r="237" spans="1:4">
      <c r="A237">
        <v>234</v>
      </c>
      <c r="B237" s="8">
        <f t="shared" si="10"/>
        <v>2260</v>
      </c>
      <c r="C237" s="8">
        <f t="shared" si="11"/>
        <v>2070</v>
      </c>
      <c r="D237" s="8">
        <f t="shared" si="9"/>
        <v>2069</v>
      </c>
    </row>
    <row r="238" spans="1:4">
      <c r="A238">
        <v>235</v>
      </c>
      <c r="B238" s="8">
        <f t="shared" si="10"/>
        <v>2325</v>
      </c>
      <c r="C238" s="8">
        <f t="shared" si="11"/>
        <v>2138</v>
      </c>
      <c r="D238" s="8">
        <f t="shared" si="9"/>
        <v>2138</v>
      </c>
    </row>
    <row r="239" spans="1:4">
      <c r="A239">
        <v>236</v>
      </c>
      <c r="B239" s="8">
        <f t="shared" si="10"/>
        <v>2391</v>
      </c>
      <c r="C239" s="8">
        <f t="shared" si="11"/>
        <v>2209</v>
      </c>
      <c r="D239" s="8">
        <f t="shared" si="9"/>
        <v>2208</v>
      </c>
    </row>
    <row r="240" spans="1:4">
      <c r="A240">
        <v>237</v>
      </c>
      <c r="B240" s="8">
        <f t="shared" si="10"/>
        <v>2460</v>
      </c>
      <c r="C240" s="8">
        <f t="shared" si="11"/>
        <v>2282</v>
      </c>
      <c r="D240" s="8">
        <f t="shared" si="9"/>
        <v>2281</v>
      </c>
    </row>
    <row r="241" spans="1:4">
      <c r="A241">
        <v>238</v>
      </c>
      <c r="B241" s="8">
        <f t="shared" si="10"/>
        <v>2531</v>
      </c>
      <c r="C241" s="8">
        <f t="shared" si="11"/>
        <v>2357</v>
      </c>
      <c r="D241" s="8">
        <f t="shared" si="9"/>
        <v>2357</v>
      </c>
    </row>
    <row r="242" spans="1:4">
      <c r="A242">
        <v>239</v>
      </c>
      <c r="B242" s="8">
        <f t="shared" si="10"/>
        <v>2603</v>
      </c>
      <c r="C242" s="8">
        <f t="shared" si="11"/>
        <v>2435</v>
      </c>
      <c r="D242" s="8">
        <f t="shared" si="9"/>
        <v>2434</v>
      </c>
    </row>
    <row r="243" spans="1:4">
      <c r="A243">
        <v>240</v>
      </c>
      <c r="B243" s="8">
        <f t="shared" si="10"/>
        <v>2678</v>
      </c>
      <c r="C243" s="8">
        <f t="shared" si="11"/>
        <v>2515</v>
      </c>
      <c r="D243" s="8">
        <f t="shared" si="9"/>
        <v>2515</v>
      </c>
    </row>
    <row r="244" spans="1:4">
      <c r="A244">
        <v>241</v>
      </c>
      <c r="B244" s="8">
        <f t="shared" si="10"/>
        <v>2755</v>
      </c>
      <c r="C244" s="8">
        <f t="shared" si="11"/>
        <v>2598</v>
      </c>
      <c r="D244" s="8">
        <f t="shared" si="9"/>
        <v>2598</v>
      </c>
    </row>
    <row r="245" spans="1:4">
      <c r="A245">
        <v>242</v>
      </c>
      <c r="B245" s="8">
        <f t="shared" si="10"/>
        <v>2834</v>
      </c>
      <c r="C245" s="8">
        <f t="shared" si="11"/>
        <v>2684</v>
      </c>
      <c r="D245" s="8">
        <f t="shared" si="9"/>
        <v>2684</v>
      </c>
    </row>
    <row r="246" spans="1:4">
      <c r="A246">
        <v>243</v>
      </c>
      <c r="B246" s="8">
        <f t="shared" si="10"/>
        <v>2916</v>
      </c>
      <c r="C246" s="8">
        <f t="shared" si="11"/>
        <v>2773</v>
      </c>
      <c r="D246" s="8">
        <f t="shared" si="9"/>
        <v>2773</v>
      </c>
    </row>
    <row r="247" spans="1:4">
      <c r="A247">
        <v>244</v>
      </c>
      <c r="B247" s="8">
        <f t="shared" si="10"/>
        <v>2999</v>
      </c>
      <c r="C247" s="8">
        <f t="shared" si="11"/>
        <v>2864</v>
      </c>
      <c r="D247" s="8">
        <f t="shared" si="9"/>
        <v>2864</v>
      </c>
    </row>
    <row r="248" spans="1:4">
      <c r="A248">
        <v>245</v>
      </c>
      <c r="B248" s="8">
        <f t="shared" si="10"/>
        <v>3085</v>
      </c>
      <c r="C248" s="8">
        <f t="shared" si="11"/>
        <v>2959</v>
      </c>
      <c r="D248" s="8">
        <f t="shared" si="9"/>
        <v>2959</v>
      </c>
    </row>
    <row r="249" spans="1:4">
      <c r="A249">
        <v>246</v>
      </c>
      <c r="B249" s="8">
        <f t="shared" si="10"/>
        <v>3174</v>
      </c>
      <c r="C249" s="8">
        <f t="shared" si="11"/>
        <v>3057</v>
      </c>
      <c r="D249" s="8">
        <f t="shared" si="9"/>
        <v>3056</v>
      </c>
    </row>
    <row r="250" spans="1:4">
      <c r="A250">
        <v>247</v>
      </c>
      <c r="B250" s="8">
        <f t="shared" si="10"/>
        <v>3265</v>
      </c>
      <c r="C250" s="8">
        <f t="shared" si="11"/>
        <v>3158</v>
      </c>
      <c r="D250" s="8">
        <f t="shared" si="9"/>
        <v>3157</v>
      </c>
    </row>
    <row r="251" spans="1:4">
      <c r="A251">
        <v>248</v>
      </c>
      <c r="B251" s="8">
        <f t="shared" si="10"/>
        <v>3359</v>
      </c>
      <c r="C251" s="8">
        <f t="shared" si="11"/>
        <v>3262</v>
      </c>
      <c r="D251" s="8">
        <f t="shared" si="9"/>
        <v>3262</v>
      </c>
    </row>
    <row r="252" spans="1:4">
      <c r="A252">
        <v>249</v>
      </c>
      <c r="B252" s="8">
        <f t="shared" si="10"/>
        <v>3455</v>
      </c>
      <c r="C252" s="8">
        <f t="shared" si="11"/>
        <v>3370</v>
      </c>
      <c r="D252" s="8">
        <f t="shared" si="9"/>
        <v>3370</v>
      </c>
    </row>
    <row r="253" spans="1:4">
      <c r="A253">
        <v>250</v>
      </c>
      <c r="B253" s="8">
        <f t="shared" si="10"/>
        <v>3555</v>
      </c>
      <c r="C253" s="8">
        <f t="shared" si="11"/>
        <v>3481</v>
      </c>
      <c r="D253" s="8">
        <f t="shared" si="9"/>
        <v>3481</v>
      </c>
    </row>
    <row r="254" spans="1:4">
      <c r="A254">
        <v>251</v>
      </c>
      <c r="B254" s="8">
        <f t="shared" si="10"/>
        <v>3657</v>
      </c>
      <c r="C254" s="8">
        <f t="shared" si="11"/>
        <v>3596</v>
      </c>
      <c r="D254" s="8">
        <f t="shared" si="9"/>
        <v>3596</v>
      </c>
    </row>
    <row r="255" spans="1:4">
      <c r="A255">
        <v>252</v>
      </c>
      <c r="B255" s="8">
        <f t="shared" si="10"/>
        <v>3762</v>
      </c>
      <c r="C255" s="8">
        <f t="shared" si="11"/>
        <v>3715</v>
      </c>
      <c r="D255" s="8">
        <f t="shared" si="9"/>
        <v>3715</v>
      </c>
    </row>
    <row r="256" spans="1:4">
      <c r="A256">
        <v>253</v>
      </c>
      <c r="B256" s="8">
        <f t="shared" si="10"/>
        <v>3870</v>
      </c>
      <c r="C256" s="8">
        <f t="shared" si="11"/>
        <v>3837</v>
      </c>
      <c r="D256" s="8">
        <f t="shared" si="9"/>
        <v>3837</v>
      </c>
    </row>
    <row r="257" spans="1:4">
      <c r="A257">
        <v>254</v>
      </c>
      <c r="B257" s="8">
        <f t="shared" si="10"/>
        <v>3981</v>
      </c>
      <c r="C257" s="8">
        <f t="shared" si="11"/>
        <v>3964</v>
      </c>
      <c r="D257" s="8">
        <f t="shared" si="9"/>
        <v>3964</v>
      </c>
    </row>
    <row r="258" spans="1:4">
      <c r="A258">
        <v>255</v>
      </c>
      <c r="B258" s="8">
        <f t="shared" si="10"/>
        <v>4095</v>
      </c>
      <c r="C258" s="8">
        <f t="shared" si="11"/>
        <v>4095</v>
      </c>
      <c r="D258" s="8">
        <f t="shared" si="9"/>
        <v>4095</v>
      </c>
    </row>
  </sheetData>
  <mergeCells count="11">
    <mergeCell ref="F9:K9"/>
    <mergeCell ref="L9:O9"/>
    <mergeCell ref="F41:I41"/>
    <mergeCell ref="F42:I42"/>
    <mergeCell ref="H4:K4"/>
    <mergeCell ref="H5:K5"/>
    <mergeCell ref="H6:K6"/>
    <mergeCell ref="F7:K7"/>
    <mergeCell ref="L7:O7"/>
    <mergeCell ref="F8:K8"/>
    <mergeCell ref="L8:O8"/>
  </mergeCells>
  <printOptions horizontalCentered="1"/>
  <pageMargins left="0.39370078740157477" right="0.39370078740157477" top="1.376771653543307" bottom="0.59015748031496063" header="0.78740157480314954" footer="0.39370078740157477"/>
  <pageSetup paperSize="9" fitToWidth="0" fitToHeight="0" pageOrder="overThenDown" orientation="landscape" r:id="rId1"/>
  <headerFooter alignWithMargins="0">
    <oddHeader>&amp;C&amp;"-,Bold"&amp;12&amp;A&amp;R&amp;D &amp;T</oddHeader>
    <oddFooter>&amp;L(C) 2013-2014, Friedrich Lobenstock &lt;fl AT fl.priv.at&gt;&amp;ROriginal Source: Pwm_table.zip from http://www.mikrocontroller.net/articles/LED-Fading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abelle1.generatePWM1">
                <anchor moveWithCells="1" sizeWithCells="1">
                  <from>
                    <xdr:col>0</xdr:col>
                    <xdr:colOff>533400</xdr:colOff>
                    <xdr:row>0</xdr:row>
                    <xdr:rowOff>171450</xdr:rowOff>
                  </from>
                  <to>
                    <xdr:col>2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abelle1.generatePWM2">
                <anchor moveWithCells="1" sizeWithCells="1">
                  <from>
                    <xdr:col>1</xdr:col>
                    <xdr:colOff>800100</xdr:colOff>
                    <xdr:row>0</xdr:row>
                    <xdr:rowOff>171450</xdr:rowOff>
                  </from>
                  <to>
                    <xdr:col>3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abelle1.generatePWM3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3</xdr:col>
                    <xdr:colOff>800100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PWM Table for LED Fading or Dim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PWM Table</dc:title>
  <dc:creator>Microsoft Corporation</dc:creator>
  <cp:lastModifiedBy>Julian Wolter</cp:lastModifiedBy>
  <cp:revision>48</cp:revision>
  <dcterms:created xsi:type="dcterms:W3CDTF">1996-10-17T06:27:31Z</dcterms:created>
  <dcterms:modified xsi:type="dcterms:W3CDTF">2019-01-08T14:19:49Z</dcterms:modified>
</cp:coreProperties>
</file>